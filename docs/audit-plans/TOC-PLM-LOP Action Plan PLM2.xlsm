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326" codeName="{26A90621-87C4-6C01-FD6A-EE6E7C140903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christoph.demmler\AppData\Local\Temp\plmconv\"/>
    </mc:Choice>
  </mc:AlternateContent>
  <xr:revisionPtr revIDLastSave="0" documentId="8_{0E6F8E0F-40A6-4934-B228-63C498BAD762}" xr6:coauthVersionLast="47" xr6:coauthVersionMax="47" xr10:uidLastSave="{00000000-0000-0000-0000-000000000000}"/>
  <bookViews>
    <workbookView xWindow="-108" yWindow="-108" windowWidth="23256" windowHeight="13896" xr2:uid="{00000000-000D-0000-FFFF-FFFF00000000}"/>
  </bookViews>
  <sheets>
    <sheet name="LOP" sheetId="1" r:id="rId1"/>
    <sheet name="Agenda" sheetId="5" r:id="rId2"/>
    <sheet name="Calculation Sheet" sheetId="2" state="hidden" r:id="rId3"/>
    <sheet name="Changehistory" sheetId="3" r:id="rId4"/>
    <sheet name="Team Vacation planning" sheetId="6" r:id="rId5"/>
    <sheet name="Instructions" sheetId="7" r:id="rId6"/>
  </sheets>
  <definedNames>
    <definedName name="_xleta.MAX" hidden="1" xlm="1">#NAME?</definedName>
    <definedName name="_xlnm.Print_Area" localSheetId="0">LOP!$A$1:$L$50</definedName>
    <definedName name="_xlnm.Print_Titles" localSheetId="0">LOP!$7:$7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5" i="5" l="1"/>
  <c r="F94" i="5"/>
  <c r="F93" i="5"/>
  <c r="F92" i="5"/>
  <c r="F91" i="5"/>
  <c r="F90" i="5"/>
  <c r="F89" i="5"/>
  <c r="F88" i="5"/>
  <c r="F87" i="5"/>
  <c r="F86" i="5"/>
  <c r="F85" i="5"/>
  <c r="F84" i="5"/>
  <c r="F83" i="5"/>
  <c r="F82" i="5"/>
  <c r="F81" i="5"/>
  <c r="F80" i="5"/>
  <c r="F79" i="5"/>
  <c r="F78" i="5"/>
  <c r="F77" i="5"/>
  <c r="F76" i="5"/>
  <c r="F75" i="5"/>
  <c r="F74" i="5"/>
  <c r="F73" i="5"/>
  <c r="F72" i="5"/>
  <c r="F71" i="5"/>
  <c r="F70" i="5"/>
  <c r="F69" i="5"/>
  <c r="F68" i="5"/>
  <c r="F67" i="5"/>
  <c r="F66" i="5"/>
  <c r="F65" i="5"/>
  <c r="F64" i="5"/>
  <c r="F63" i="5"/>
  <c r="F62" i="5"/>
  <c r="F61" i="5"/>
  <c r="F60" i="5"/>
  <c r="F59" i="5"/>
  <c r="F58" i="5"/>
  <c r="F57" i="5"/>
  <c r="F56" i="5"/>
  <c r="F55" i="5"/>
  <c r="F54" i="5"/>
  <c r="F53" i="5"/>
  <c r="F52" i="5"/>
  <c r="F51" i="5"/>
  <c r="F50" i="5"/>
  <c r="F49" i="5"/>
  <c r="F48" i="5"/>
  <c r="F47" i="5"/>
  <c r="F46" i="5"/>
  <c r="F45" i="5"/>
  <c r="F44" i="5"/>
  <c r="F43" i="5"/>
  <c r="F42" i="5"/>
  <c r="F41" i="5"/>
  <c r="F40" i="5"/>
  <c r="F39" i="5"/>
  <c r="F38" i="5"/>
  <c r="F37" i="5"/>
  <c r="F36" i="5"/>
  <c r="F35" i="5"/>
  <c r="F34" i="5"/>
  <c r="F33" i="5"/>
  <c r="F32" i="5"/>
  <c r="F31" i="5"/>
  <c r="F30" i="5"/>
  <c r="F29" i="5"/>
  <c r="F28" i="5"/>
  <c r="F27" i="5"/>
  <c r="F26" i="5"/>
  <c r="F25" i="5"/>
  <c r="F24" i="5"/>
  <c r="F23" i="5"/>
  <c r="F12" i="5"/>
  <c r="C3" i="5"/>
  <c r="A3" i="5"/>
  <c r="F13" i="5" l="1"/>
  <c r="F14" i="5" s="1"/>
  <c r="F15" i="5" s="1"/>
  <c r="F16" i="5" s="1"/>
  <c r="D3" i="1"/>
  <c r="D4" i="1" s="1"/>
  <c r="B3" i="2"/>
  <c r="B4" i="2"/>
  <c r="B5" i="2"/>
  <c r="B6" i="2"/>
  <c r="F17" i="5" l="1"/>
  <c r="F18" i="5" s="1"/>
  <c r="F19" i="5" s="1"/>
  <c r="F20" i="5" s="1"/>
  <c r="J2" i="1"/>
  <c r="J1" i="1"/>
  <c r="J3" i="1"/>
  <c r="J4" i="1"/>
  <c r="F21" i="5" l="1"/>
  <c r="F22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Schubert, Wolfgang</author>
  </authors>
  <commentList>
    <comment ref="B7" authorId="0" shapeId="0" xr:uid="{D4171400-008F-49AE-992F-0455E50C6E7E}">
      <text>
        <r>
          <rPr>
            <b/>
            <sz val="9"/>
            <color indexed="81"/>
            <rFont val="Segoe UI"/>
            <family val="2"/>
          </rPr>
          <t xml:space="preserve">Schubert, Wolfgang:
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STRG+Punkt</t>
        </r>
        <r>
          <rPr>
            <sz val="9"/>
            <color indexed="81"/>
            <rFont val="Segoe UI"/>
            <family val="2"/>
          </rPr>
          <t xml:space="preserve"> drücken" damit das Datum eingefügt wird</t>
        </r>
      </text>
    </comment>
  </commentList>
</comments>
</file>

<file path=xl/sharedStrings.xml><?xml version="1.0" encoding="utf-8"?>
<sst xmlns="http://schemas.openxmlformats.org/spreadsheetml/2006/main" count="369" uniqueCount="171">
  <si>
    <t>cw</t>
  </si>
  <si>
    <t xml:space="preserve">Pos. </t>
  </si>
  <si>
    <t>Entry 
Date</t>
  </si>
  <si>
    <t>Process</t>
  </si>
  <si>
    <t>Task</t>
  </si>
  <si>
    <t>Description</t>
  </si>
  <si>
    <t>internal / 
extenal</t>
  </si>
  <si>
    <t>Responsible</t>
  </si>
  <si>
    <t>Due</t>
  </si>
  <si>
    <t>Status</t>
  </si>
  <si>
    <t>Comments/Questions</t>
  </si>
  <si>
    <t>Complete</t>
  </si>
  <si>
    <t>On track</t>
  </si>
  <si>
    <t>At risk</t>
  </si>
  <si>
    <t>Overdue</t>
  </si>
  <si>
    <t>Changehistory</t>
  </si>
  <si>
    <t>Date</t>
  </si>
  <si>
    <t>Resp.</t>
  </si>
  <si>
    <t>Calculation for Graphic
LOP</t>
  </si>
  <si>
    <t>mark</t>
  </si>
  <si>
    <t>Meeting:</t>
  </si>
  <si>
    <t>Datum:</t>
  </si>
  <si>
    <t>Zeit:</t>
  </si>
  <si>
    <t>Ort:</t>
  </si>
  <si>
    <t>other Participants</t>
  </si>
  <si>
    <t>Start</t>
  </si>
  <si>
    <t>Duration</t>
  </si>
  <si>
    <t>Veranstalter:</t>
  </si>
  <si>
    <t>Tel.:</t>
  </si>
  <si>
    <t>TEAMS MEETING</t>
  </si>
  <si>
    <t>Department</t>
  </si>
  <si>
    <r>
      <t xml:space="preserve">Name
</t>
    </r>
    <r>
      <rPr>
        <i/>
        <sz val="10"/>
        <color rgb="FF0000FF"/>
        <rFont val="Calibri"/>
        <family val="2"/>
        <scheme val="minor"/>
      </rPr>
      <t>First and Last Name</t>
    </r>
  </si>
  <si>
    <r>
      <t xml:space="preserve">Vacation
</t>
    </r>
    <r>
      <rPr>
        <i/>
        <sz val="10"/>
        <color rgb="FF0000FF"/>
        <rFont val="Calibri"/>
        <family val="2"/>
        <scheme val="minor"/>
      </rPr>
      <t>from - till</t>
    </r>
  </si>
  <si>
    <t>Click the Button to create a new LOP-Point in the LOP-Sheet. 
The LOP point number and the Entry Date is generated automatically</t>
  </si>
  <si>
    <t>Click the Button to delete a LOP point.
You will be asked which LOP point number should be deleted</t>
  </si>
  <si>
    <t>here the filter for the status area in Column "I" is removed and all LOP points are displayed</t>
  </si>
  <si>
    <t>To be on the safe side, a second query is started asking whether the LOP point should really be deleted</t>
  </si>
  <si>
    <t>To add a LOP point to the agenda, select a cell in the respective LP point and click the button.
Each LOP point must be marked individually</t>
  </si>
  <si>
    <t>Click the Button to create a new LOP-Sheet fro an other Project</t>
  </si>
  <si>
    <t>Click the button to filter the status.
All completed points will be hidden.
Only the Stratus "On track", "at risk" and "Overdue" will be shown</t>
  </si>
  <si>
    <t xml:space="preserve">In the field, enter the LOP point number and confirm with OK
</t>
  </si>
  <si>
    <t>Buttons at the LOP-Sheet</t>
  </si>
  <si>
    <t>Buttons at the Agenda-Sheet</t>
  </si>
  <si>
    <t>Click the Button to get to the LOP list</t>
  </si>
  <si>
    <t>fill in the yellow marked cells at the Agenda Sheet</t>
  </si>
  <si>
    <t>Click the Button to delete all LOP-Points from the last Agenda.
You can create a new Agenda</t>
  </si>
  <si>
    <r>
      <t>Click to create a pdf-File with the filled LOP points for the team
The storage location is the same as the LOP list.
The name of the PDF file is also generated automatically.
"</t>
    </r>
    <r>
      <rPr>
        <b/>
        <sz val="11"/>
        <color theme="1"/>
        <rFont val="Calibri"/>
        <family val="2"/>
        <scheme val="minor"/>
      </rPr>
      <t>Project-</t>
    </r>
    <r>
      <rPr>
        <sz val="11"/>
        <color theme="1"/>
        <rFont val="Calibri"/>
        <family val="2"/>
        <scheme val="minor"/>
      </rPr>
      <t>"</t>
    </r>
    <r>
      <rPr>
        <b/>
        <sz val="11"/>
        <color theme="1"/>
        <rFont val="Calibri"/>
        <family val="2"/>
        <scheme val="minor"/>
      </rPr>
      <t>Project number_</t>
    </r>
    <r>
      <rPr>
        <sz val="11"/>
        <color theme="1"/>
        <rFont val="Calibri"/>
        <family val="2"/>
        <scheme val="minor"/>
      </rPr>
      <t>"</t>
    </r>
    <r>
      <rPr>
        <b/>
        <sz val="11"/>
        <color theme="1"/>
        <rFont val="Calibri"/>
        <family val="2"/>
        <scheme val="minor"/>
      </rPr>
      <t>Agenda_</t>
    </r>
    <r>
      <rPr>
        <sz val="11"/>
        <color theme="1"/>
        <rFont val="Calibri"/>
        <family val="2"/>
        <scheme val="minor"/>
      </rPr>
      <t>"</t>
    </r>
    <r>
      <rPr>
        <b/>
        <sz val="11"/>
        <color theme="1"/>
        <rFont val="Calibri"/>
        <family val="2"/>
        <scheme val="minor"/>
      </rPr>
      <t>Date of creation</t>
    </r>
    <r>
      <rPr>
        <sz val="11"/>
        <color theme="1"/>
        <rFont val="Calibri"/>
        <family val="2"/>
        <scheme val="minor"/>
      </rPr>
      <t>"</t>
    </r>
  </si>
  <si>
    <t>Have to evaluate the Measurement Reports from Kupron for BBG-Parts</t>
  </si>
  <si>
    <t>Hr. Naser</t>
  </si>
  <si>
    <t>U10 und U25</t>
  </si>
  <si>
    <t>B. Naser</t>
  </si>
  <si>
    <t xml:space="preserve">Regelmeeting </t>
  </si>
  <si>
    <t>14:30 - 15:00</t>
  </si>
  <si>
    <t xml:space="preserve">Abstimmung und Planung der Verlagerung </t>
  </si>
  <si>
    <t xml:space="preserve">Hr. Kerschreiter; Hr. Koch; Hr Lehmann; </t>
  </si>
  <si>
    <r>
      <rPr>
        <b/>
        <sz val="14"/>
        <color theme="1"/>
        <rFont val="Calibri"/>
        <family val="2"/>
        <scheme val="minor"/>
      </rPr>
      <t>F-DVS-CORP-010</t>
    </r>
    <r>
      <rPr>
        <sz val="11"/>
        <color theme="1"/>
        <rFont val="Calibri"/>
        <family val="2"/>
        <scheme val="minor"/>
      </rPr>
      <t xml:space="preserve">
Rev. Level: 001
Rev. Date: 11/18/2025
öffentlich o   intern x   vertraulich o  geheim o</t>
    </r>
  </si>
  <si>
    <t>ECR</t>
  </si>
  <si>
    <t>01-E1 (Programming)</t>
  </si>
  <si>
    <t>Department rights from directory groups; admin role limited to IT and system owner. Done when: Rights matrix filed; test log per role. Ref. TOC-PLM-01. Support: IT</t>
  </si>
  <si>
    <t>internal</t>
  </si>
  <si>
    <t>C. Demmler</t>
  </si>
  <si>
    <t>46/26</t>
  </si>
  <si>
    <t>01-E2 (Programming)</t>
  </si>
  <si>
    <t>Strict four-eyes on internal cost approval and sign-offs. Done when: Self-approval rejected in test. Ref. TOC-PLM-01. Support: Program Mgmt., APQP</t>
  </si>
  <si>
    <t>45/26</t>
  </si>
  <si>
    <t>01-E3 (Programming)</t>
  </si>
  <si>
    <t>Training gate switched on per stage. Done when: Untrained user blocked in test. Ref. TOC-PLM-01. Support: HR</t>
  </si>
  <si>
    <t>47/26</t>
  </si>
  <si>
    <t>01-E4 (Programming)</t>
  </si>
  <si>
    <t>Close open flow points (cost carrier re-confirmation, impact edits after quote). Done when: Regression suite green. Ref. TOC-PLM-01. Support: Program Mgmt., APQP</t>
  </si>
  <si>
    <t>48/26</t>
  </si>
  <si>
    <t>01-T1 (Testing)</t>
  </si>
  <si>
    <t>Scripted acceptance test, one script per stage, signed by each department. Done when: Signed test protocols filed. Ref. TOC-PLM-01. Support: Department heads</t>
  </si>
  <si>
    <t>01-T2 (Testing)</t>
  </si>
  <si>
    <t>Live pilot: G6X (1748) Weissenburg changes plus the next customer change. Done when: Pilot changes complete in PLM2. Ref. TOC-PLM-01. Support: Program Mgmt., APQP</t>
  </si>
  <si>
    <t>50/26</t>
  </si>
  <si>
    <t>01-KP (Finalisation)</t>
  </si>
  <si>
    <t>KPIs (open, to be defined): set targets, sources and review cycle for the change process, starting with implementation on time. Done when: KPI set agreed, shown in the monthly review. Ref. TOC-PLM-01. Support: Quality, Program Mgmt.</t>
  </si>
  <si>
    <t>01-F1 (Finalisation)</t>
  </si>
  <si>
    <t>Procedure 'Change management with PLM2' released. Done when: Procedure in document control. Ref. TOC-PLM-01. Support: Quality</t>
  </si>
  <si>
    <t>01-TR (Finalisation)</t>
  </si>
  <si>
    <t>Training concept (open, to be defined): which roles need which training per module (ECR, SEP, data, lessons), format, trainer, records. Done when: Concept agreed with department heads. Ref. TOC-PLM-01. Support: Program Mgmt., APQP, HR</t>
  </si>
  <si>
    <t>01-F2 (Finalisation)</t>
  </si>
  <si>
    <t>Training of all departments per training concept (01-TR). Done when: Training records in PLM2. Ref. TOC-PLM-01. Support: Program Mgmt., APQP</t>
  </si>
  <si>
    <t>51/26</t>
  </si>
  <si>
    <t>01-F3 (Finalisation)</t>
  </si>
  <si>
    <t>Go-live: new changes in PLM2 only; ECC list read-only. Done when: Announcement; list locked. Ref. TOC-PLM-01. Support: Plant Mgmt.</t>
  </si>
  <si>
    <t>52/26</t>
  </si>
  <si>
    <t>01-F4 (Operation)</t>
  </si>
  <si>
    <t>Effectiveness review after three months. Done when: Review in management review. Ref. TOC-PLM-01. Support: Quality</t>
  </si>
  <si>
    <t>12/27</t>
  </si>
  <si>
    <t>SEP</t>
  </si>
  <si>
    <t>02-S1 (Programming)</t>
  </si>
  <si>
    <t>Project overview page (all projects, gates, overdue, open changes and lessons). Done when: Page live, used in monthly review. Ref. TOC-PLM-02. Support: Program Mgmt., APQP</t>
  </si>
  <si>
    <t>02-S2 (Programming)</t>
  </si>
  <si>
    <t>Gate target dates linked to project timing, overdue signal. Done when: Dates set for all running projects. Ref. TOC-PLM-02. Support: Program Mgmt., APQP</t>
  </si>
  <si>
    <t>02-S3 (Programming)</t>
  </si>
  <si>
    <t>Required items per gate enforced; signer role per item. Done when: Gate close blocked in test. Ref. TOC-PLM-02. Support: Quality</t>
  </si>
  <si>
    <t>02-D1 (Documentation)</t>
  </si>
  <si>
    <t>Upload SEP evidence for running projects (1864, 1994, 2141, 2277). Done when: Items done / n.a. with evidence. Ref. TOC-PLM-02. Support: Program Mgmt., APQP</t>
  </si>
  <si>
    <t>1/27</t>
  </si>
  <si>
    <t>02-D2 (Documentation)</t>
  </si>
  <si>
    <t>1994: RG1 evidence complete, gate review with dual sign-off. Done when: RG1 closed in PLM2. Ref. TOC-PLM-02. Support: Quality</t>
  </si>
  <si>
    <t>49/26</t>
  </si>
  <si>
    <t>02-F1 (Finalisation)</t>
  </si>
  <si>
    <t>Procedure 'Project planning with the SEP matrix in PLM2' released. Done when: Procedure in document control. Ref. TOC-PLM-02. Support: Quality</t>
  </si>
  <si>
    <t>53/26</t>
  </si>
  <si>
    <t>02-F2 (Finalisation)</t>
  </si>
  <si>
    <t>Excel SEP matrix retired for new projects. Done when: First new project started in PLM2. Ref. TOC-PLM-02. Support: Plant Mgmt.</t>
  </si>
  <si>
    <t>3/27</t>
  </si>
  <si>
    <t>02-R1 (Operation)</t>
  </si>
  <si>
    <t>1994 runs RG2 to RG7 in PLM2; gate dates from the Brose customer timing. Done when: Each gate closed with sign-off (due: to SOP, Brose customer timing). Ref. TOC-PLM-02. Support: Program Mgmt., APQP</t>
  </si>
  <si>
    <t>to SOP</t>
  </si>
  <si>
    <t/>
  </si>
  <si>
    <t>Data mgmt</t>
  </si>
  <si>
    <t>03-M1 (Programming)</t>
  </si>
  <si>
    <t>Access scope closed on all lists (SEP, lessons). Done when: Scope test per role passed. Ref. TOC-PLM-03. Support: Program Mgmt., APQP</t>
  </si>
  <si>
    <t>03-M2 (Programming)</t>
  </si>
  <si>
    <t>Customer data review timer, 10 working days, overdue signal. Done when: Timer on intake list. Ref. TOC-PLM-03. Support: Development</t>
  </si>
  <si>
    <t>03-M3 (Programming)</t>
  </si>
  <si>
    <t>Equipment and gauge completeness (tool link, equipment details). Done when: 0 gauges without tool. Ref. TOC-PLM-03. Support: Tooling, Quality</t>
  </si>
  <si>
    <t>03-M4 (Programming)</t>
  </si>
  <si>
    <t>Customer part numbers on all series parts; one mirror per part. Done when: Completeness list empty. Ref. TOC-PLM-03. Support: Development</t>
  </si>
  <si>
    <t>03-M5 (Programming)</t>
  </si>
  <si>
    <t>Scheduled database backup and restore test. Done when: Restore test record. Ref. TOC-PLM-03. Support: IT</t>
  </si>
  <si>
    <t>03-M6 (Programming)</t>
  </si>
  <si>
    <t>Transfer legacy drive data of active projects. Done when: Per-project checklist signed. Ref. TOC-PLM-03. Support: Development</t>
  </si>
  <si>
    <t>6/27</t>
  </si>
  <si>
    <t>03-T1 (Testing)</t>
  </si>
  <si>
    <t>Acceptance test and restore drill. Done when: Signed test protocol. Ref. TOC-PLM-03. Support: Quality, IT</t>
  </si>
  <si>
    <t>8/27</t>
  </si>
  <si>
    <t>03-F1 (Finalisation)</t>
  </si>
  <si>
    <t>Procedure 'Engineering data management in PLM2' released, training. Done when: Procedure; training per concept (01-TR). Ref. TOC-PLM-03. Support: Quality</t>
  </si>
  <si>
    <t>11/27</t>
  </si>
  <si>
    <t>03-F2 (Finalisation)</t>
  </si>
  <si>
    <t>Network drives read-only for active projects. Done when: Drive rights changed. Ref. TOC-PLM-03. Support: IT</t>
  </si>
  <si>
    <t>03-F3 (Operation)</t>
  </si>
  <si>
    <t>Effectiveness review. Done when: Review in management review. Ref. TOC-PLM-03. Support: Quality</t>
  </si>
  <si>
    <t>15/27</t>
  </si>
  <si>
    <t>Lessons</t>
  </si>
  <si>
    <t>04-L1 (Programming)</t>
  </si>
  <si>
    <t>SharePoint lessons list frozen read-only; PLM2 only. Done when: List locked. Ref. TOC-PLM-04. Support: Program Mgmt., APQP</t>
  </si>
  <si>
    <t>44/26</t>
  </si>
  <si>
    <t>04-L2 (Programming)</t>
  </si>
  <si>
    <t>Lessons check as required SEP item at RG1 / RG2. Done when: Item enforced in SEP. Ref. TOC-PLM-04. Support: Program Mgmt., APQP</t>
  </si>
  <si>
    <t>04-L3 (Programming)</t>
  </si>
  <si>
    <t>Lessons step required at every change release. Done when: Release blocked in test. Ref. TOC-PLM-04. Support: Program Mgmt., APQP</t>
  </si>
  <si>
    <t>04-L4 (Programming)</t>
  </si>
  <si>
    <t>Relevant lessons shown in project risk assessment. Done when: Risk form shows lessons. Ref. TOC-PLM-04. Support: Quality</t>
  </si>
  <si>
    <t>04-T1 (Testing)</t>
  </si>
  <si>
    <t>Run on 1994 RG2 and the G6X changes. Done when: References recorded. Ref. TOC-PLM-04. Support: Program Mgmt., APQP</t>
  </si>
  <si>
    <t>04-KP (Finalisation)</t>
  </si>
  <si>
    <t>KPIs (open, to be defined): set targets, sources and review cycle for lessons learned, starting with lesson actions implemented on time. Done when: KPI set agreed, shown in the monthly review. Ref. TOC-PLM-04. Support: Quality, Program Mgmt.</t>
  </si>
  <si>
    <t>04-F1 (Finalisation)</t>
  </si>
  <si>
    <t>Procedure 'Lessons learned in PLM2' released. Done when: Procedure in document control. Ref. TOC-PLM-04. Support: Quality</t>
  </si>
  <si>
    <t>04-F2 (Finalisation)</t>
  </si>
  <si>
    <t>First quarterly lessons review in management review. Done when: Minutes filed. Ref. TOC-PLM-04. Support: Plant Mgmt.</t>
  </si>
  <si>
    <t>4/27</t>
  </si>
  <si>
    <t>TISAX</t>
  </si>
  <si>
    <t>05-I1 (Programming)</t>
  </si>
  <si>
    <t>Trusted company certificate on the PLM2 server (replaces self-signed). Done when: Browser shows trusted certificate. Ref. TOC-PLM-05. Support: IT</t>
  </si>
  <si>
    <t>05-I2 (Programming)</t>
  </si>
  <si>
    <t>Classification drives access: prototype / strictly confidential projects visible to the named project team only; downloads logged. Done when: Access test per classification. Ref. TOC-PLM-05. Support: IT</t>
  </si>
  <si>
    <t>05-I3 (Finalisation)</t>
  </si>
  <si>
    <t>Start an asset list with IT and record PLM2 in it as the system holding customer and prototype data (basis for a future TISAX scope). Done when: Asset list entry. Ref. TOC-PLM-05. Support: IT</t>
  </si>
  <si>
    <t>05-I4 (Operation)</t>
  </si>
  <si>
    <t>Quarterly access review per department. Done when: Review record in PLM2. Ref. TOC-PLM-05. Support: Department heads</t>
  </si>
  <si>
    <t>05-I5 (Programming)</t>
  </si>
  <si>
    <t>Stored customer files encrypted at rest (AES-256), as already done in RFQ2. Done when: Encryption test, key handling documented. Ref. TOC-PLM-05. Support: Program Mgmt., APQP</t>
  </si>
  <si>
    <t>LOP created from TOC-PLM-00 to TOC-PLM-05, owner C. Demmler, status 09/30/2026 (ECR, SEP, data management, lessons learned, TISAX)</t>
  </si>
  <si>
    <t>Process Development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</si>
</sst>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dd/mm/yy;@"/>
    <numFmt numFmtId="165" formatCode="yy"/>
    <numFmt numFmtId="166" formatCode="[$-F800]dddd\,\ mmmm\ dd\,\ yyyy"/>
    <numFmt numFmtId="167" formatCode="h:mm;@"/>
    <numFmt numFmtId="168" formatCode="d/m/yy;@"/>
    <numFmt numFmtId="170" formatCode="mm/dd/yyyy"/>
  </numFmts>
  <fonts count="2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FF0000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2"/>
      <name val="Calibri"/>
      <family val="2"/>
      <scheme val="minor"/>
    </font>
    <font>
      <b/>
      <i/>
      <sz val="12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i/>
      <sz val="10"/>
      <color rgb="FF0000FF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24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theme="5"/>
      </top>
      <bottom/>
      <diagonal/>
    </border>
    <border>
      <left style="thin">
        <color auto="1"/>
      </left>
      <right/>
      <top style="thin">
        <color theme="5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/>
      <bottom style="thin">
        <color theme="5"/>
      </bottom>
      <diagonal/>
    </border>
    <border>
      <left/>
      <right style="thin">
        <color theme="1"/>
      </right>
      <top style="thin">
        <color theme="5"/>
      </top>
      <bottom/>
      <diagonal/>
    </border>
  </borders>
  <cellStyleXfs count="2">
    <xf numFmtId="0" fontId="0" fillId="0" borderId="0"/>
    <xf numFmtId="0" fontId="5" fillId="0" borderId="0"/>
  </cellStyleXfs>
  <cellXfs count="140">
    <xf numFmtId="0" fontId="0" fillId="0" borderId="0" xfId="0"/>
    <xf numFmtId="0" fontId="0" fillId="2" borderId="0" xfId="0" applyFill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 vertical="center"/>
    </xf>
    <xf numFmtId="0" fontId="6" fillId="0" borderId="0" xfId="1" applyFont="1"/>
    <xf numFmtId="0" fontId="5" fillId="0" borderId="0" xfId="1"/>
    <xf numFmtId="0" fontId="7" fillId="0" borderId="4" xfId="1" applyFont="1" applyBorder="1" applyAlignment="1">
      <alignment horizontal="left" vertical="center"/>
    </xf>
    <xf numFmtId="0" fontId="8" fillId="0" borderId="5" xfId="1" applyFont="1" applyBorder="1" applyAlignment="1">
      <alignment vertical="center"/>
    </xf>
    <xf numFmtId="0" fontId="8" fillId="0" borderId="0" xfId="1" applyFont="1" applyAlignment="1">
      <alignment vertical="center"/>
    </xf>
    <xf numFmtId="0" fontId="6" fillId="4" borderId="7" xfId="1" applyFont="1" applyFill="1" applyBorder="1" applyAlignment="1">
      <alignment horizontal="left" vertical="center"/>
    </xf>
    <xf numFmtId="0" fontId="6" fillId="4" borderId="7" xfId="1" applyFont="1" applyFill="1" applyBorder="1" applyAlignment="1">
      <alignment vertical="center"/>
    </xf>
    <xf numFmtId="0" fontId="5" fillId="0" borderId="0" xfId="1" applyAlignment="1">
      <alignment vertical="center"/>
    </xf>
    <xf numFmtId="14" fontId="5" fillId="0" borderId="8" xfId="1" applyNumberFormat="1" applyBorder="1" applyAlignment="1">
      <alignment horizontal="left"/>
    </xf>
    <xf numFmtId="0" fontId="5" fillId="0" borderId="8" xfId="1" applyBorder="1"/>
    <xf numFmtId="14" fontId="5" fillId="0" borderId="9" xfId="1" applyNumberFormat="1" applyBorder="1" applyAlignment="1">
      <alignment horizontal="left"/>
    </xf>
    <xf numFmtId="0" fontId="5" fillId="0" borderId="9" xfId="1" applyBorder="1"/>
    <xf numFmtId="0" fontId="5" fillId="0" borderId="9" xfId="1" quotePrefix="1" applyBorder="1" applyAlignment="1">
      <alignment wrapText="1"/>
    </xf>
    <xf numFmtId="0" fontId="5" fillId="0" borderId="9" xfId="1" applyBorder="1" applyAlignment="1">
      <alignment wrapText="1"/>
    </xf>
    <xf numFmtId="0" fontId="5" fillId="0" borderId="9" xfId="1" applyBorder="1" applyAlignment="1">
      <alignment horizontal="left"/>
    </xf>
    <xf numFmtId="0" fontId="5" fillId="0" borderId="10" xfId="1" applyBorder="1" applyAlignment="1">
      <alignment horizontal="left"/>
    </xf>
    <xf numFmtId="0" fontId="5" fillId="0" borderId="10" xfId="1" applyBorder="1"/>
    <xf numFmtId="0" fontId="5" fillId="0" borderId="0" xfId="1" applyAlignment="1">
      <alignment horizontal="left"/>
    </xf>
    <xf numFmtId="0" fontId="10" fillId="6" borderId="12" xfId="0" applyFont="1" applyFill="1" applyBorder="1" applyAlignment="1">
      <alignment horizontal="center" vertical="center"/>
    </xf>
    <xf numFmtId="0" fontId="10" fillId="6" borderId="6" xfId="0" applyFont="1" applyFill="1" applyBorder="1" applyAlignment="1">
      <alignment horizontal="center" vertical="center"/>
    </xf>
    <xf numFmtId="0" fontId="10" fillId="6" borderId="15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top"/>
    </xf>
    <xf numFmtId="0" fontId="11" fillId="3" borderId="2" xfId="0" applyFont="1" applyFill="1" applyBorder="1" applyAlignment="1">
      <alignment horizontal="center" vertical="top" wrapText="1"/>
    </xf>
    <xf numFmtId="0" fontId="11" fillId="3" borderId="2" xfId="0" applyFont="1" applyFill="1" applyBorder="1" applyAlignment="1">
      <alignment horizontal="center" vertical="top"/>
    </xf>
    <xf numFmtId="0" fontId="11" fillId="3" borderId="2" xfId="0" applyFont="1" applyFill="1" applyBorder="1" applyAlignment="1">
      <alignment horizontal="left" vertical="top"/>
    </xf>
    <xf numFmtId="0" fontId="0" fillId="2" borderId="0" xfId="0" applyFill="1" applyAlignment="1">
      <alignment horizontal="center" vertical="top"/>
    </xf>
    <xf numFmtId="0" fontId="0" fillId="9" borderId="0" xfId="0" applyFill="1" applyAlignment="1">
      <alignment horizontal="center" vertical="top"/>
    </xf>
    <xf numFmtId="0" fontId="0" fillId="9" borderId="0" xfId="0" applyFill="1" applyAlignment="1">
      <alignment horizontal="center"/>
    </xf>
    <xf numFmtId="0" fontId="0" fillId="9" borderId="0" xfId="0" applyFill="1"/>
    <xf numFmtId="0" fontId="0" fillId="9" borderId="0" xfId="0" applyFill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0" fillId="10" borderId="0" xfId="0" applyFill="1"/>
    <xf numFmtId="0" fontId="1" fillId="5" borderId="11" xfId="0" applyFont="1" applyFill="1" applyBorder="1" applyAlignment="1">
      <alignment horizontal="right" vertical="center" indent="1"/>
    </xf>
    <xf numFmtId="0" fontId="1" fillId="7" borderId="13" xfId="0" applyFont="1" applyFill="1" applyBorder="1" applyAlignment="1">
      <alignment horizontal="right" vertical="center" indent="1"/>
    </xf>
    <xf numFmtId="0" fontId="1" fillId="8" borderId="14" xfId="0" applyFont="1" applyFill="1" applyBorder="1" applyAlignment="1">
      <alignment horizontal="right" vertical="center" indent="1"/>
    </xf>
    <xf numFmtId="0" fontId="12" fillId="10" borderId="0" xfId="0" applyFont="1" applyFill="1" applyAlignment="1">
      <alignment horizontal="center"/>
    </xf>
    <xf numFmtId="0" fontId="0" fillId="10" borderId="0" xfId="0" applyFill="1" applyAlignment="1">
      <alignment horizontal="left" vertical="center"/>
    </xf>
    <xf numFmtId="0" fontId="0" fillId="9" borderId="0" xfId="0" applyFill="1" applyAlignment="1">
      <alignment vertical="center" wrapText="1"/>
    </xf>
    <xf numFmtId="0" fontId="0" fillId="2" borderId="1" xfId="0" applyFill="1" applyBorder="1"/>
    <xf numFmtId="0" fontId="0" fillId="11" borderId="0" xfId="0" applyFill="1"/>
    <xf numFmtId="0" fontId="13" fillId="10" borderId="0" xfId="0" applyFont="1" applyFill="1"/>
    <xf numFmtId="0" fontId="5" fillId="11" borderId="0" xfId="0" applyFont="1" applyFill="1" applyAlignment="1">
      <alignment horizontal="center" vertical="top"/>
    </xf>
    <xf numFmtId="0" fontId="0" fillId="11" borderId="0" xfId="0" applyFill="1" applyAlignment="1">
      <alignment vertical="center"/>
    </xf>
    <xf numFmtId="0" fontId="0" fillId="9" borderId="0" xfId="0" applyFill="1" applyAlignment="1">
      <alignment horizontal="left" vertical="top" wrapText="1"/>
    </xf>
    <xf numFmtId="0" fontId="14" fillId="9" borderId="0" xfId="0" applyFont="1" applyFill="1" applyAlignment="1">
      <alignment horizontal="left" vertical="top" wrapText="1"/>
    </xf>
    <xf numFmtId="14" fontId="0" fillId="9" borderId="0" xfId="0" applyNumberFormat="1" applyFill="1" applyAlignment="1">
      <alignment horizontal="center" vertical="center" wrapText="1"/>
    </xf>
    <xf numFmtId="165" fontId="0" fillId="10" borderId="0" xfId="0" applyNumberFormat="1" applyFill="1" applyAlignment="1">
      <alignment horizontal="left"/>
    </xf>
    <xf numFmtId="14" fontId="0" fillId="9" borderId="0" xfId="0" applyNumberFormat="1" applyFill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top"/>
    </xf>
    <xf numFmtId="0" fontId="0" fillId="11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11" borderId="0" xfId="0" applyFill="1" applyAlignment="1">
      <alignment vertical="top"/>
    </xf>
    <xf numFmtId="0" fontId="0" fillId="9" borderId="1" xfId="0" applyFill="1" applyBorder="1" applyAlignment="1">
      <alignment horizontal="center" vertical="center"/>
    </xf>
    <xf numFmtId="0" fontId="0" fillId="2" borderId="2" xfId="0" applyFill="1" applyBorder="1"/>
    <xf numFmtId="0" fontId="0" fillId="10" borderId="0" xfId="0" applyFill="1" applyAlignment="1">
      <alignment wrapText="1"/>
    </xf>
    <xf numFmtId="0" fontId="0" fillId="2" borderId="0" xfId="0" applyFill="1" applyAlignment="1">
      <alignment wrapText="1"/>
    </xf>
    <xf numFmtId="0" fontId="0" fillId="9" borderId="0" xfId="0" applyFill="1" applyAlignment="1">
      <alignment wrapText="1"/>
    </xf>
    <xf numFmtId="0" fontId="0" fillId="9" borderId="0" xfId="0" applyFill="1" applyAlignment="1">
      <alignment horizontal="center" vertical="top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5" fillId="0" borderId="0" xfId="0" applyFont="1" applyAlignment="1">
      <alignment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horizontal="center" vertical="top"/>
    </xf>
    <xf numFmtId="0" fontId="0" fillId="0" borderId="0" xfId="0" applyAlignment="1">
      <alignment horizontal="center" vertical="top" wrapText="1"/>
    </xf>
    <xf numFmtId="0" fontId="16" fillId="3" borderId="2" xfId="0" applyFont="1" applyFill="1" applyBorder="1" applyAlignment="1">
      <alignment horizontal="left" vertical="top"/>
    </xf>
    <xf numFmtId="0" fontId="18" fillId="10" borderId="0" xfId="0" applyFont="1" applyFill="1" applyAlignment="1">
      <alignment vertical="top"/>
    </xf>
    <xf numFmtId="0" fontId="3" fillId="12" borderId="13" xfId="0" applyFont="1" applyFill="1" applyBorder="1" applyAlignment="1">
      <alignment horizontal="right" vertical="center" indent="1"/>
    </xf>
    <xf numFmtId="0" fontId="0" fillId="2" borderId="0" xfId="0" applyFill="1" applyAlignment="1">
      <alignment horizontal="center" vertical="center" wrapText="1"/>
    </xf>
    <xf numFmtId="0" fontId="10" fillId="3" borderId="16" xfId="0" applyFont="1" applyFill="1" applyBorder="1" applyAlignment="1">
      <alignment horizontal="center" vertical="center" wrapText="1"/>
    </xf>
    <xf numFmtId="0" fontId="10" fillId="3" borderId="17" xfId="0" applyFont="1" applyFill="1" applyBorder="1" applyAlignment="1">
      <alignment horizontal="center" vertical="center" wrapText="1"/>
    </xf>
    <xf numFmtId="0" fontId="17" fillId="3" borderId="17" xfId="0" applyFont="1" applyFill="1" applyBorder="1" applyAlignment="1">
      <alignment horizontal="left" vertical="center" wrapText="1"/>
    </xf>
    <xf numFmtId="0" fontId="2" fillId="13" borderId="0" xfId="0" applyFont="1" applyFill="1" applyAlignment="1">
      <alignment horizontal="left" vertical="center"/>
    </xf>
    <xf numFmtId="167" fontId="3" fillId="13" borderId="0" xfId="0" applyNumberFormat="1" applyFont="1" applyFill="1" applyAlignment="1">
      <alignment horizontal="center" vertical="center"/>
    </xf>
    <xf numFmtId="1" fontId="3" fillId="13" borderId="0" xfId="0" applyNumberFormat="1" applyFont="1" applyFill="1" applyAlignment="1">
      <alignment horizontal="center" vertical="center"/>
    </xf>
    <xf numFmtId="0" fontId="0" fillId="0" borderId="0" xfId="0" applyAlignment="1">
      <alignment vertical="center" wrapText="1"/>
    </xf>
    <xf numFmtId="0" fontId="19" fillId="0" borderId="0" xfId="0" applyFont="1" applyAlignment="1">
      <alignment horizontal="center"/>
    </xf>
    <xf numFmtId="14" fontId="19" fillId="0" borderId="0" xfId="0" applyNumberFormat="1" applyFont="1" applyAlignment="1">
      <alignment horizontal="left"/>
    </xf>
    <xf numFmtId="164" fontId="0" fillId="0" borderId="0" xfId="0" applyNumberFormat="1" applyAlignment="1">
      <alignment horizontal="left"/>
    </xf>
    <xf numFmtId="0" fontId="14" fillId="0" borderId="0" xfId="0" applyFont="1" applyAlignment="1">
      <alignment horizontal="left" vertical="center"/>
    </xf>
    <xf numFmtId="0" fontId="14" fillId="0" borderId="0" xfId="0" applyFont="1" applyAlignment="1">
      <alignment horizontal="left"/>
    </xf>
    <xf numFmtId="167" fontId="0" fillId="0" borderId="0" xfId="0" applyNumberForma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 vertical="top" wrapText="1" indent="2"/>
    </xf>
    <xf numFmtId="0" fontId="0" fillId="0" borderId="7" xfId="0" applyBorder="1" applyAlignment="1">
      <alignment horizontal="left" vertical="top" wrapText="1" indent="2"/>
    </xf>
    <xf numFmtId="0" fontId="0" fillId="0" borderId="20" xfId="0" applyBorder="1" applyAlignment="1">
      <alignment horizontal="left" vertical="top" wrapText="1" indent="2"/>
    </xf>
    <xf numFmtId="0" fontId="0" fillId="0" borderId="7" xfId="0" applyBorder="1" applyAlignment="1">
      <alignment vertical="top"/>
    </xf>
    <xf numFmtId="0" fontId="0" fillId="0" borderId="21" xfId="0" applyBorder="1" applyAlignment="1">
      <alignment vertical="top"/>
    </xf>
    <xf numFmtId="0" fontId="0" fillId="0" borderId="19" xfId="0" applyBorder="1" applyAlignment="1">
      <alignment horizontal="left" wrapText="1" indent="2"/>
    </xf>
    <xf numFmtId="0" fontId="0" fillId="0" borderId="6" xfId="0" applyBorder="1" applyAlignment="1">
      <alignment wrapText="1"/>
    </xf>
    <xf numFmtId="0" fontId="0" fillId="0" borderId="20" xfId="0" applyBorder="1" applyAlignment="1">
      <alignment vertical="top"/>
    </xf>
    <xf numFmtId="0" fontId="0" fillId="0" borderId="21" xfId="0" applyBorder="1" applyAlignment="1">
      <alignment horizontal="left" vertical="top" wrapText="1" indent="2"/>
    </xf>
    <xf numFmtId="0" fontId="5" fillId="0" borderId="0" xfId="1" applyAlignment="1">
      <alignment wrapText="1"/>
    </xf>
    <xf numFmtId="0" fontId="0" fillId="11" borderId="2" xfId="0" applyFill="1" applyBorder="1" applyAlignment="1" applyProtection="1">
      <alignment vertical="top" wrapText="1"/>
      <protection locked="0"/>
    </xf>
    <xf numFmtId="0" fontId="0" fillId="11" borderId="2" xfId="0" applyFill="1" applyBorder="1" applyAlignment="1" applyProtection="1">
      <alignment horizontal="left" vertical="top" wrapText="1"/>
      <protection locked="0"/>
    </xf>
    <xf numFmtId="0" fontId="14" fillId="11" borderId="2" xfId="0" applyFont="1" applyFill="1" applyBorder="1" applyAlignment="1" applyProtection="1">
      <alignment horizontal="left" vertical="top" wrapText="1"/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top" wrapText="1"/>
    </xf>
    <xf numFmtId="0" fontId="2" fillId="13" borderId="0" xfId="0" quotePrefix="1" applyFont="1" applyFill="1" applyAlignment="1">
      <alignment horizontal="left" vertical="center"/>
    </xf>
    <xf numFmtId="0" fontId="24" fillId="0" borderId="6" xfId="1" applyFont="1" applyBorder="1" applyAlignment="1">
      <alignment vertical="center"/>
    </xf>
    <xf numFmtId="0" fontId="14" fillId="0" borderId="16" xfId="0" applyFont="1" applyBorder="1" applyAlignment="1">
      <alignment horizontal="left" vertical="top" wrapText="1"/>
    </xf>
    <xf numFmtId="0" fontId="0" fillId="11" borderId="2" xfId="0" applyFill="1" applyBorder="1" applyAlignment="1" applyProtection="1">
      <alignment horizontal="center" vertical="top" wrapText="1"/>
      <protection locked="0"/>
    </xf>
    <xf numFmtId="0" fontId="0" fillId="0" borderId="0" xfId="0" applyAlignment="1">
      <alignment horizontal="left" vertical="center" wrapText="1"/>
    </xf>
    <xf numFmtId="14" fontId="12" fillId="10" borderId="0" xfId="0" applyNumberFormat="1" applyFont="1" applyFill="1" applyAlignment="1">
      <alignment horizontal="left"/>
    </xf>
    <xf numFmtId="0" fontId="0" fillId="9" borderId="18" xfId="0" applyFill="1" applyBorder="1" applyAlignment="1">
      <alignment horizontal="center" vertical="center" wrapText="1"/>
    </xf>
    <xf numFmtId="0" fontId="0" fillId="9" borderId="15" xfId="0" applyFill="1" applyBorder="1" applyAlignment="1">
      <alignment horizontal="center" vertical="center"/>
    </xf>
    <xf numFmtId="0" fontId="0" fillId="9" borderId="3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0" fontId="24" fillId="10" borderId="0" xfId="0" applyFont="1" applyFill="1" applyAlignment="1">
      <alignment horizontal="left" vertical="center" wrapText="1"/>
    </xf>
    <xf numFmtId="164" fontId="24" fillId="0" borderId="0" xfId="0" applyNumberFormat="1" applyFont="1" applyAlignment="1">
      <alignment horizontal="left" vertical="center"/>
    </xf>
    <xf numFmtId="0" fontId="2" fillId="13" borderId="0" xfId="0" applyFont="1" applyFill="1" applyAlignment="1">
      <alignment horizontal="left"/>
    </xf>
    <xf numFmtId="166" fontId="3" fillId="13" borderId="0" xfId="0" applyNumberFormat="1" applyFont="1" applyFill="1" applyAlignment="1">
      <alignment horizontal="left" vertical="center" wrapText="1"/>
    </xf>
    <xf numFmtId="20" fontId="3" fillId="0" borderId="0" xfId="0" applyNumberFormat="1" applyFont="1" applyAlignment="1">
      <alignment horizontal="left" vertical="center" wrapText="1"/>
    </xf>
    <xf numFmtId="20" fontId="3" fillId="13" borderId="0" xfId="0" applyNumberFormat="1" applyFont="1" applyFill="1" applyAlignment="1">
      <alignment horizontal="left" vertical="center" wrapText="1"/>
    </xf>
    <xf numFmtId="0" fontId="6" fillId="0" borderId="0" xfId="1" applyFont="1" applyAlignment="1">
      <alignment horizontal="left" vertical="center" wrapText="1"/>
    </xf>
    <xf numFmtId="0" fontId="0" fillId="0" borderId="7" xfId="0" applyBorder="1" applyAlignment="1">
      <alignment horizontal="center" vertical="top"/>
    </xf>
    <xf numFmtId="0" fontId="0" fillId="0" borderId="7" xfId="0" applyBorder="1" applyAlignment="1">
      <alignment horizontal="left" vertical="top" wrapText="1" indent="2"/>
    </xf>
    <xf numFmtId="0" fontId="23" fillId="3" borderId="7" xfId="0" applyFont="1" applyFill="1" applyBorder="1" applyAlignment="1">
      <alignment horizontal="center" vertical="center"/>
    </xf>
    <xf numFmtId="0" fontId="0" fillId="0" borderId="7" xfId="0" applyBorder="1" applyAlignment="1">
      <alignment horizontal="left" vertical="top" wrapText="1"/>
    </xf>
    <xf numFmtId="0" fontId="0" fillId="0" borderId="21" xfId="0" applyBorder="1" applyAlignment="1">
      <alignment horizontal="center" vertical="top"/>
    </xf>
    <xf numFmtId="0" fontId="0" fillId="0" borderId="20" xfId="0" applyBorder="1" applyAlignment="1">
      <alignment horizontal="center" vertical="top"/>
    </xf>
    <xf numFmtId="0" fontId="0" fillId="0" borderId="19" xfId="0" applyBorder="1" applyAlignment="1">
      <alignment horizontal="left" wrapText="1"/>
    </xf>
    <xf numFmtId="0" fontId="0" fillId="0" borderId="4" xfId="0" applyBorder="1" applyAlignment="1">
      <alignment horizontal="left" wrapText="1"/>
    </xf>
    <xf numFmtId="0" fontId="0" fillId="0" borderId="20" xfId="0" applyBorder="1" applyAlignment="1">
      <alignment horizontal="left" vertical="top" wrapText="1" indent="2"/>
    </xf>
    <xf numFmtId="0" fontId="0" fillId="0" borderId="21" xfId="0" applyBorder="1" applyAlignment="1">
      <alignment horizontal="left" vertical="top" wrapText="1" indent="2"/>
    </xf>
    <xf numFmtId="170" fontId="0" fillId="11" borderId="2" xfId="0" applyNumberFormat="1" applyFill="1" applyBorder="1" applyAlignment="1" applyProtection="1">
      <alignment horizontal="center" vertical="top" wrapText="1"/>
      <protection locked="0"/>
    </xf>
    <xf numFmtId="0" fontId="9" fillId="11" borderId="1" xfId="0" applyFont="1" applyFill="1" applyBorder="1" applyAlignment="1">
      <alignment horizontal="center" vertical="top" wrapText="1"/>
    </xf>
    <xf numFmtId="0" fontId="2" fillId="11" borderId="2" xfId="0" applyFont="1" applyFill="1" applyBorder="1" applyAlignment="1" applyProtection="1">
      <alignment horizontal="center" vertical="top" wrapText="1"/>
      <protection locked="0"/>
    </xf>
    <xf numFmtId="49" fontId="0" fillId="0" borderId="3" xfId="0" applyNumberFormat="1" applyBorder="1" applyAlignment="1">
      <alignment horizontal="center" vertical="top" wrapText="1"/>
    </xf>
    <xf numFmtId="0" fontId="0" fillId="11" borderId="22" xfId="0" applyFill="1" applyBorder="1" applyAlignment="1">
      <alignment horizontal="center" vertical="top" wrapText="1"/>
    </xf>
    <xf numFmtId="170" fontId="0" fillId="11" borderId="1" xfId="0" applyNumberFormat="1" applyFill="1" applyBorder="1" applyAlignment="1" applyProtection="1">
      <alignment horizontal="center" vertical="top" wrapText="1"/>
      <protection locked="0"/>
    </xf>
    <xf numFmtId="168" fontId="0" fillId="11" borderId="23" xfId="0" applyNumberFormat="1" applyFill="1" applyBorder="1" applyAlignment="1">
      <alignment horizontal="center" vertical="top" wrapText="1"/>
    </xf>
  </cellXfs>
  <cellStyles count="2">
    <cellStyle name="Normal" xfId="0" builtinId="0"/>
    <cellStyle name="Standard 2" xfId="1" xr:uid="{04283CD7-B603-4A36-A3C7-2162EB3976F7}"/>
  </cellStyles>
  <dxfs count="35">
    <dxf>
      <alignment vertical="top" textRotation="0" wrapText="1" indent="0" justifyLastLine="0" shrinkToFit="0" readingOrder="0"/>
    </dxf>
    <dxf>
      <numFmt numFmtId="168" formatCode="d/m/yy;@"/>
      <fill>
        <patternFill patternType="solid">
          <fgColor indexed="64"/>
          <bgColor theme="0" tint="-4.9989318521683403E-2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theme="1"/>
        </right>
        <top style="thin">
          <color theme="5"/>
        </top>
        <bottom style="thin">
          <color theme="5"/>
        </bottom>
      </border>
    </dxf>
    <dxf>
      <numFmt numFmtId="30" formatCode="@"/>
      <alignment horizontal="center" vertical="top" textRotation="0" wrapText="1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alignment horizontal="general" vertical="top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/>
      </font>
      <alignment horizontal="center" vertical="top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numFmt numFmtId="170" formatCode="mm/dd/yyyy"/>
      <alignment horizontal="center" vertical="top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center" vertical="top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center" vertical="top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left" vertical="top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vertical="top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numFmt numFmtId="170" formatCode="mm/dd/yyyy"/>
      <alignment horizontal="center" vertical="top" textRotation="0" wrapText="1" indent="0" justifyLastLine="0" shrinkToFit="0" readingOrder="0"/>
      <border diagonalUp="0" diagonalDown="0" outline="0">
        <left/>
        <right style="thin">
          <color auto="1"/>
        </right>
        <top/>
        <bottom/>
      </border>
      <protection locked="0" hidden="0"/>
    </dxf>
    <dxf>
      <font>
        <b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top" textRotation="0" wrapText="1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alignment horizontal="center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border>
        <left style="thin">
          <color theme="1"/>
        </left>
        <right style="thin">
          <color theme="1"/>
        </right>
        <top style="thin">
          <color theme="5"/>
        </top>
        <bottom style="thin">
          <color theme="5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numFmt numFmtId="164" formatCode="dd/mm/yy;@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numFmt numFmtId="164" formatCode="dd/mm/yy;@"/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8000"/>
        </patternFill>
      </fill>
    </dxf>
    <dxf>
      <font>
        <color theme="0"/>
      </font>
      <fill>
        <patternFill>
          <bgColor rgb="FF0070C0"/>
        </patternFill>
      </fill>
    </dxf>
    <dxf>
      <fill>
        <patternFill patternType="solid">
          <bgColor theme="5" tint="0.79998168889431442"/>
        </patternFill>
      </fill>
    </dxf>
  </dxfs>
  <tableStyles count="1" defaultTableStyle="TableStyleMedium2" defaultPivotStyle="PivotStyleMedium9">
    <tableStyle name="Invisible" pivot="0" table="0" count="0" xr9:uid="{2191FA32-C43C-4DAD-B7AC-332FE4E16ECE}"/>
  </tableStyles>
  <colors>
    <mruColors>
      <color rgb="FF008000"/>
      <color rgb="FFF2F2F2"/>
      <color rgb="FF0000FF"/>
      <color rgb="FF808080"/>
      <color rgb="FF000080"/>
      <color rgb="FF3333CC"/>
      <color rgb="FFF2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softEdge rad="0"/>
            </a:effectLst>
            <a:scene3d>
              <a:camera prst="orthographicFront"/>
              <a:lightRig rig="threePt" dir="t"/>
            </a:scene3d>
            <a:sp3d>
              <a:bevelT w="38100" h="38100"/>
              <a:bevelB h="0"/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  <a:softEdge rad="0"/>
              </a:effectLst>
              <a:scene3d>
                <a:camera prst="orthographicFront"/>
                <a:lightRig rig="threePt" dir="t"/>
              </a:scene3d>
              <a:sp3d>
                <a:bevelT w="38100" h="38100"/>
                <a:bevelB h="0"/>
              </a:sp3d>
            </c:spPr>
            <c:extLst>
              <c:ext xmlns:c16="http://schemas.microsoft.com/office/drawing/2014/chart" uri="{C3380CC4-5D6E-409C-BE32-E72D297353CC}">
                <c16:uniqueId val="{00000002-0E94-4D91-A982-D27A80958E72}"/>
              </c:ext>
            </c:extLst>
          </c:dPt>
          <c:dPt>
            <c:idx val="1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  <a:softEdge rad="0"/>
              </a:effectLst>
              <a:scene3d>
                <a:camera prst="orthographicFront"/>
                <a:lightRig rig="threePt" dir="t"/>
              </a:scene3d>
              <a:sp3d>
                <a:bevelT w="38100" h="38100"/>
                <a:bevelB h="0"/>
              </a:sp3d>
            </c:spPr>
            <c:extLst>
              <c:ext xmlns:c16="http://schemas.microsoft.com/office/drawing/2014/chart" uri="{C3380CC4-5D6E-409C-BE32-E72D297353CC}">
                <c16:uniqueId val="{00000004-0E94-4D91-A982-D27A80958E72}"/>
              </c:ext>
            </c:extLst>
          </c:dPt>
          <c:dPt>
            <c:idx val="2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  <a:softEdge rad="0"/>
              </a:effectLst>
              <a:scene3d>
                <a:camera prst="orthographicFront"/>
                <a:lightRig rig="threePt" dir="t"/>
              </a:scene3d>
              <a:sp3d>
                <a:bevelT w="38100" h="38100"/>
                <a:bevelB h="0"/>
              </a:sp3d>
            </c:spPr>
            <c:extLst>
              <c:ext xmlns:c16="http://schemas.microsoft.com/office/drawing/2014/chart" uri="{C3380CC4-5D6E-409C-BE32-E72D297353CC}">
                <c16:uniqueId val="{00000006-0E94-4D91-A982-D27A80958E72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  <a:softEdge rad="0"/>
              </a:effectLst>
              <a:scene3d>
                <a:camera prst="orthographicFront"/>
                <a:lightRig rig="threePt" dir="t"/>
              </a:scene3d>
              <a:sp3d>
                <a:bevelT w="38100" h="38100"/>
                <a:bevelB h="0"/>
              </a:sp3d>
            </c:spPr>
            <c:extLst>
              <c:ext xmlns:c16="http://schemas.microsoft.com/office/drawing/2014/chart" uri="{C3380CC4-5D6E-409C-BE32-E72D297353CC}">
                <c16:uniqueId val="{00000008-0E94-4D91-A982-D27A80958E72}"/>
              </c:ext>
            </c:extLst>
          </c:dPt>
          <c:cat>
            <c:strRef>
              <c:f>LOP!$I$1:$I$4</c:f>
              <c:strCache>
                <c:ptCount val="4"/>
                <c:pt idx="0">
                  <c:v>Complete</c:v>
                </c:pt>
                <c:pt idx="1">
                  <c:v>On track</c:v>
                </c:pt>
                <c:pt idx="2">
                  <c:v>At risk</c:v>
                </c:pt>
                <c:pt idx="3">
                  <c:v>Overdue</c:v>
                </c:pt>
              </c:strCache>
            </c:strRef>
          </c:cat>
          <c:val>
            <c:numRef>
              <c:f>'Calculation Sheet'!$B$3:$B$6</c:f>
              <c:numCache>
                <c:formatCode>General</c:formatCode>
                <c:ptCount val="4"/>
                <c:pt idx="0">
                  <c:v>0</c:v>
                </c:pt>
                <c:pt idx="1">
                  <c:v>43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E94-4D91-A982-D27A80958E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9"/>
        <c:overlap val="50"/>
        <c:axId val="185771704"/>
        <c:axId val="185772096"/>
      </c:barChart>
      <c:catAx>
        <c:axId val="1857717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5772096"/>
        <c:crosses val="autoZero"/>
        <c:auto val="1"/>
        <c:lblAlgn val="ctr"/>
        <c:lblOffset val="100"/>
        <c:noMultiLvlLbl val="0"/>
      </c:catAx>
      <c:valAx>
        <c:axId val="185772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5771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image" Target="../media/image12.svg"/><Relationship Id="rId3" Type="http://schemas.openxmlformats.org/officeDocument/2006/relationships/image" Target="../media/image2.svg"/><Relationship Id="rId7" Type="http://schemas.openxmlformats.org/officeDocument/2006/relationships/image" Target="../media/image6.svg"/><Relationship Id="rId12" Type="http://schemas.openxmlformats.org/officeDocument/2006/relationships/image" Target="../media/image11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11" Type="http://schemas.openxmlformats.org/officeDocument/2006/relationships/image" Target="../media/image10.svg"/><Relationship Id="rId5" Type="http://schemas.openxmlformats.org/officeDocument/2006/relationships/image" Target="../media/image4.svg"/><Relationship Id="rId15" Type="http://schemas.openxmlformats.org/officeDocument/2006/relationships/image" Target="cid:image001.png@01DBC351.81CBB560" TargetMode="External"/><Relationship Id="rId10" Type="http://schemas.openxmlformats.org/officeDocument/2006/relationships/image" Target="../media/image9.png"/><Relationship Id="rId4" Type="http://schemas.openxmlformats.org/officeDocument/2006/relationships/image" Target="../media/image3.png"/><Relationship Id="rId9" Type="http://schemas.openxmlformats.org/officeDocument/2006/relationships/image" Target="../media/image8.svg"/><Relationship Id="rId14" Type="http://schemas.openxmlformats.org/officeDocument/2006/relationships/image" Target="../media/image1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LOP!A1"/><Relationship Id="rId2" Type="http://schemas.openxmlformats.org/officeDocument/2006/relationships/image" Target="../media/image14.svg"/><Relationship Id="rId1" Type="http://schemas.openxmlformats.org/officeDocument/2006/relationships/image" Target="../media/image1.png"/><Relationship Id="rId6" Type="http://schemas.openxmlformats.org/officeDocument/2006/relationships/image" Target="../media/image17.png"/><Relationship Id="rId5" Type="http://schemas.openxmlformats.org/officeDocument/2006/relationships/image" Target="../media/image16.svg"/><Relationship Id="rId4" Type="http://schemas.openxmlformats.org/officeDocument/2006/relationships/image" Target="../media/image15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png"/><Relationship Id="rId3" Type="http://schemas.openxmlformats.org/officeDocument/2006/relationships/image" Target="../media/image20.png"/><Relationship Id="rId7" Type="http://schemas.openxmlformats.org/officeDocument/2006/relationships/image" Target="../media/image24.png"/><Relationship Id="rId2" Type="http://schemas.openxmlformats.org/officeDocument/2006/relationships/image" Target="../media/image19.png"/><Relationship Id="rId1" Type="http://schemas.openxmlformats.org/officeDocument/2006/relationships/image" Target="../media/image18.png"/><Relationship Id="rId6" Type="http://schemas.openxmlformats.org/officeDocument/2006/relationships/image" Target="../media/image23.png"/><Relationship Id="rId5" Type="http://schemas.openxmlformats.org/officeDocument/2006/relationships/image" Target="../media/image22.png"/><Relationship Id="rId4" Type="http://schemas.openxmlformats.org/officeDocument/2006/relationships/image" Target="../media/image21.png"/><Relationship Id="rId9" Type="http://schemas.openxmlformats.org/officeDocument/2006/relationships/image" Target="../media/image2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102577</xdr:colOff>
      <xdr:row>0</xdr:row>
      <xdr:rowOff>43961</xdr:rowOff>
    </xdr:from>
    <xdr:to>
      <xdr:col>8</xdr:col>
      <xdr:colOff>849923</xdr:colOff>
      <xdr:row>0</xdr:row>
      <xdr:rowOff>256442</xdr:rowOff>
    </xdr:to>
    <xdr:sp macro="[0]!Complete" textlink="">
      <xdr:nvSpPr>
        <xdr:cNvPr id="9" name="Rechteck 8">
          <a:extLst>
            <a:ext uri="{FF2B5EF4-FFF2-40B4-BE49-F238E27FC236}">
              <a16:creationId xmlns:a16="http://schemas.microsoft.com/office/drawing/2014/main" id="{A3B67DC0-7BA2-4D99-AE51-0CA87C9CD6E2}"/>
            </a:ext>
          </a:extLst>
        </xdr:cNvPr>
        <xdr:cNvSpPr/>
      </xdr:nvSpPr>
      <xdr:spPr>
        <a:xfrm>
          <a:off x="15098737" y="43961"/>
          <a:ext cx="747346" cy="212481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l"/>
          <a:endParaRPr lang="de-DE" sz="1100"/>
        </a:p>
      </xdr:txBody>
    </xdr:sp>
    <xdr:clientData/>
  </xdr:twoCellAnchor>
  <xdr:twoCellAnchor>
    <xdr:from>
      <xdr:col>8</xdr:col>
      <xdr:colOff>102577</xdr:colOff>
      <xdr:row>1</xdr:row>
      <xdr:rowOff>51874</xdr:rowOff>
    </xdr:from>
    <xdr:to>
      <xdr:col>8</xdr:col>
      <xdr:colOff>804203</xdr:colOff>
      <xdr:row>1</xdr:row>
      <xdr:rowOff>264355</xdr:rowOff>
    </xdr:to>
    <xdr:sp macro="[0]!On_Track" textlink="">
      <xdr:nvSpPr>
        <xdr:cNvPr id="10" name="Rechteck 9">
          <a:extLst>
            <a:ext uri="{FF2B5EF4-FFF2-40B4-BE49-F238E27FC236}">
              <a16:creationId xmlns:a16="http://schemas.microsoft.com/office/drawing/2014/main" id="{6E5E78CE-3069-4876-A8D9-320C0A4EE818}"/>
            </a:ext>
          </a:extLst>
        </xdr:cNvPr>
        <xdr:cNvSpPr/>
      </xdr:nvSpPr>
      <xdr:spPr>
        <a:xfrm>
          <a:off x="13772857" y="364294"/>
          <a:ext cx="701626" cy="212481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l"/>
          <a:endParaRPr lang="de-DE" sz="1100"/>
        </a:p>
      </xdr:txBody>
    </xdr:sp>
    <xdr:clientData/>
  </xdr:twoCellAnchor>
  <xdr:twoCellAnchor>
    <xdr:from>
      <xdr:col>8</xdr:col>
      <xdr:colOff>102577</xdr:colOff>
      <xdr:row>2</xdr:row>
      <xdr:rowOff>51873</xdr:rowOff>
    </xdr:from>
    <xdr:to>
      <xdr:col>8</xdr:col>
      <xdr:colOff>804203</xdr:colOff>
      <xdr:row>2</xdr:row>
      <xdr:rowOff>264354</xdr:rowOff>
    </xdr:to>
    <xdr:sp macro="[0]!At_Risk" textlink="">
      <xdr:nvSpPr>
        <xdr:cNvPr id="11" name="Rechteck 10">
          <a:extLst>
            <a:ext uri="{FF2B5EF4-FFF2-40B4-BE49-F238E27FC236}">
              <a16:creationId xmlns:a16="http://schemas.microsoft.com/office/drawing/2014/main" id="{A688FCC0-A1FD-485E-A37D-83102DF9AFA0}"/>
            </a:ext>
          </a:extLst>
        </xdr:cNvPr>
        <xdr:cNvSpPr/>
      </xdr:nvSpPr>
      <xdr:spPr>
        <a:xfrm>
          <a:off x="13772857" y="676713"/>
          <a:ext cx="701626" cy="212481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l"/>
          <a:endParaRPr lang="de-DE" sz="1100"/>
        </a:p>
      </xdr:txBody>
    </xdr:sp>
    <xdr:clientData/>
  </xdr:twoCellAnchor>
  <xdr:twoCellAnchor>
    <xdr:from>
      <xdr:col>8</xdr:col>
      <xdr:colOff>102577</xdr:colOff>
      <xdr:row>3</xdr:row>
      <xdr:rowOff>51873</xdr:rowOff>
    </xdr:from>
    <xdr:to>
      <xdr:col>8</xdr:col>
      <xdr:colOff>804203</xdr:colOff>
      <xdr:row>3</xdr:row>
      <xdr:rowOff>264354</xdr:rowOff>
    </xdr:to>
    <xdr:sp macro="[0]!Overdue" textlink="">
      <xdr:nvSpPr>
        <xdr:cNvPr id="12" name="Rechteck 11">
          <a:extLst>
            <a:ext uri="{FF2B5EF4-FFF2-40B4-BE49-F238E27FC236}">
              <a16:creationId xmlns:a16="http://schemas.microsoft.com/office/drawing/2014/main" id="{78774C5F-A7BF-4696-9BD7-22B58BFE858B}"/>
            </a:ext>
          </a:extLst>
        </xdr:cNvPr>
        <xdr:cNvSpPr/>
      </xdr:nvSpPr>
      <xdr:spPr>
        <a:xfrm>
          <a:off x="13772857" y="989133"/>
          <a:ext cx="701626" cy="212481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l"/>
          <a:endParaRPr lang="de-DE" sz="1100"/>
        </a:p>
      </xdr:txBody>
    </xdr:sp>
    <xdr:clientData/>
  </xdr:twoCellAnchor>
  <xdr:twoCellAnchor>
    <xdr:from>
      <xdr:col>4</xdr:col>
      <xdr:colOff>5453062</xdr:colOff>
      <xdr:row>0</xdr:row>
      <xdr:rowOff>0</xdr:rowOff>
    </xdr:from>
    <xdr:to>
      <xdr:col>6</xdr:col>
      <xdr:colOff>734761</xdr:colOff>
      <xdr:row>4</xdr:row>
      <xdr:rowOff>6626</xdr:rowOff>
    </xdr:to>
    <xdr:graphicFrame macro="">
      <xdr:nvGraphicFramePr>
        <xdr:cNvPr id="13" name="Chart 1">
          <a:extLst>
            <a:ext uri="{FF2B5EF4-FFF2-40B4-BE49-F238E27FC236}">
              <a16:creationId xmlns:a16="http://schemas.microsoft.com/office/drawing/2014/main" id="{795F2ED6-D070-4124-8039-F699111F6A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781774</xdr:colOff>
      <xdr:row>0</xdr:row>
      <xdr:rowOff>56580</xdr:rowOff>
    </xdr:from>
    <xdr:to>
      <xdr:col>7</xdr:col>
      <xdr:colOff>817558</xdr:colOff>
      <xdr:row>3</xdr:row>
      <xdr:rowOff>261147</xdr:rowOff>
    </xdr:to>
    <xdr:sp macro="[0]!Set_Filter_Complete" textlink="">
      <xdr:nvSpPr>
        <xdr:cNvPr id="15" name="Rechteck 14">
          <a:extLst>
            <a:ext uri="{FF2B5EF4-FFF2-40B4-BE49-F238E27FC236}">
              <a16:creationId xmlns:a16="http://schemas.microsoft.com/office/drawing/2014/main" id="{D5FEF9AA-1DF6-4B19-A0FB-5B980C10238C}"/>
            </a:ext>
          </a:extLst>
        </xdr:cNvPr>
        <xdr:cNvSpPr/>
      </xdr:nvSpPr>
      <xdr:spPr>
        <a:xfrm>
          <a:off x="12192724" y="56580"/>
          <a:ext cx="1150209" cy="1147542"/>
        </a:xfrm>
        <a:prstGeom prst="rect">
          <a:avLst/>
        </a:prstGeom>
        <a:ln>
          <a:noFill/>
        </a:ln>
        <a:scene3d>
          <a:camera prst="orthographicFront"/>
          <a:lightRig rig="threePt" dir="t"/>
        </a:scene3d>
        <a:sp3d extrusionH="19050">
          <a:bevelT w="12700" h="12700"/>
          <a:bevelB w="12700" h="12700"/>
          <a:contourClr>
            <a:schemeClr val="bg1">
              <a:lumMod val="50000"/>
            </a:schemeClr>
          </a:contourClr>
        </a:sp3d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de-DE" sz="1400" b="1" u="none">
              <a:solidFill>
                <a:sysClr val="windowText" lastClr="000000"/>
              </a:solidFill>
            </a:rPr>
            <a:t>Set</a:t>
          </a:r>
          <a:r>
            <a:rPr lang="de-DE" sz="1400" b="1" u="none" baseline="0">
              <a:solidFill>
                <a:sysClr val="windowText" lastClr="000000"/>
              </a:solidFill>
            </a:rPr>
            <a:t> Filter</a:t>
          </a:r>
        </a:p>
        <a:p>
          <a:pPr algn="ctr"/>
          <a:r>
            <a:rPr lang="de-DE" sz="1400" b="1" u="sng">
              <a:solidFill>
                <a:sysClr val="windowText" lastClr="000000"/>
              </a:solidFill>
            </a:rPr>
            <a:t> </a:t>
          </a:r>
        </a:p>
        <a:p>
          <a:pPr lvl="0" algn="ctr"/>
          <a:r>
            <a:rPr lang="de-DE" sz="1200" b="1" i="0" u="none">
              <a:solidFill>
                <a:srgbClr val="0070C0"/>
              </a:solidFill>
            </a:rPr>
            <a:t>"</a:t>
          </a:r>
          <a:r>
            <a:rPr lang="de-DE" sz="1200" b="1" i="1" u="sng">
              <a:solidFill>
                <a:srgbClr val="0070C0"/>
              </a:solidFill>
            </a:rPr>
            <a:t>On</a:t>
          </a:r>
          <a:r>
            <a:rPr lang="de-DE" sz="1200" b="1" i="1" u="sng" baseline="0">
              <a:solidFill>
                <a:srgbClr val="0070C0"/>
              </a:solidFill>
            </a:rPr>
            <a:t> track</a:t>
          </a:r>
          <a:r>
            <a:rPr lang="de-DE" sz="1200" b="1" baseline="0">
              <a:solidFill>
                <a:srgbClr val="0070C0"/>
              </a:solidFill>
            </a:rPr>
            <a:t>"</a:t>
          </a:r>
        </a:p>
        <a:p>
          <a:pPr lvl="0" algn="ctr"/>
          <a:r>
            <a:rPr lang="de-DE" sz="1200" b="1">
              <a:solidFill>
                <a:srgbClr val="FFFF00"/>
              </a:solidFill>
            </a:rPr>
            <a:t>"</a:t>
          </a:r>
          <a:r>
            <a:rPr lang="de-DE" sz="1200" b="1" i="1" u="sng">
              <a:solidFill>
                <a:srgbClr val="FFFF00"/>
              </a:solidFill>
            </a:rPr>
            <a:t>At risk</a:t>
          </a:r>
          <a:r>
            <a:rPr lang="de-DE" sz="1200" b="1">
              <a:solidFill>
                <a:srgbClr val="FFFF00"/>
              </a:solidFill>
            </a:rPr>
            <a:t>"</a:t>
          </a:r>
        </a:p>
        <a:p>
          <a:pPr lvl="0" algn="ctr"/>
          <a:r>
            <a:rPr lang="de-DE" sz="1200" b="1">
              <a:solidFill>
                <a:srgbClr val="FF0000"/>
              </a:solidFill>
            </a:rPr>
            <a:t>"</a:t>
          </a:r>
          <a:r>
            <a:rPr lang="de-DE" sz="1200" b="1" i="1" u="sng">
              <a:solidFill>
                <a:srgbClr val="FF0000"/>
              </a:solidFill>
            </a:rPr>
            <a:t>Overdue</a:t>
          </a:r>
          <a:r>
            <a:rPr lang="de-DE" sz="1200" b="1">
              <a:solidFill>
                <a:srgbClr val="FF0000"/>
              </a:solidFill>
            </a:rPr>
            <a:t>"</a:t>
          </a:r>
        </a:p>
      </xdr:txBody>
    </xdr:sp>
    <xdr:clientData/>
  </xdr:twoCellAnchor>
  <xdr:twoCellAnchor editAs="absolute">
    <xdr:from>
      <xdr:col>3</xdr:col>
      <xdr:colOff>1414384</xdr:colOff>
      <xdr:row>0</xdr:row>
      <xdr:rowOff>92551</xdr:rowOff>
    </xdr:from>
    <xdr:to>
      <xdr:col>4</xdr:col>
      <xdr:colOff>4941052</xdr:colOff>
      <xdr:row>3</xdr:row>
      <xdr:rowOff>92481</xdr:rowOff>
    </xdr:to>
    <xdr:grpSp>
      <xdr:nvGrpSpPr>
        <xdr:cNvPr id="16" name="Beschriftung">
          <a:extLst>
            <a:ext uri="{FF2B5EF4-FFF2-40B4-BE49-F238E27FC236}">
              <a16:creationId xmlns:a16="http://schemas.microsoft.com/office/drawing/2014/main" id="{F8755A6E-02C3-4442-A01A-02DD401F1443}"/>
            </a:ext>
          </a:extLst>
        </xdr:cNvPr>
        <xdr:cNvGrpSpPr/>
      </xdr:nvGrpSpPr>
      <xdr:grpSpPr>
        <a:xfrm>
          <a:off x="4005184" y="92551"/>
          <a:ext cx="5032739" cy="968118"/>
          <a:chOff x="4281279" y="143355"/>
          <a:chExt cx="5021380" cy="987222"/>
        </a:xfrm>
      </xdr:grpSpPr>
      <xdr:sp macro="" textlink="">
        <xdr:nvSpPr>
          <xdr:cNvPr id="17" name="Database_Assembly">
            <a:extLst>
              <a:ext uri="{FF2B5EF4-FFF2-40B4-BE49-F238E27FC236}">
                <a16:creationId xmlns:a16="http://schemas.microsoft.com/office/drawing/2014/main" id="{F19BAB1E-15D1-6839-5C8C-3221C2E97E67}"/>
              </a:ext>
            </a:extLst>
          </xdr:cNvPr>
          <xdr:cNvSpPr txBox="1"/>
        </xdr:nvSpPr>
        <xdr:spPr>
          <a:xfrm>
            <a:off x="4853608" y="256761"/>
            <a:ext cx="4449051" cy="4406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 anchorCtr="0"/>
          <a:lstStyle/>
          <a:p>
            <a:r>
              <a:rPr lang="de-DE" sz="2400" b="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</a:t>
            </a:r>
            <a:r>
              <a:rPr lang="de-DE" sz="240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roject - </a:t>
            </a:r>
            <a:r>
              <a:rPr lang="de-DE" sz="2400" b="1">
                <a:solidFill>
                  <a:schemeClr val="accent2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</a:t>
            </a:r>
            <a:r>
              <a:rPr lang="de-DE" sz="240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ist of </a:t>
            </a:r>
            <a:r>
              <a:rPr lang="de-DE" sz="2400" b="1">
                <a:solidFill>
                  <a:schemeClr val="accent2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r>
              <a:rPr lang="de-DE" sz="240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pen </a:t>
            </a:r>
            <a:r>
              <a:rPr lang="de-DE" sz="2400" b="1">
                <a:solidFill>
                  <a:schemeClr val="accent2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</a:t>
            </a:r>
            <a:r>
              <a:rPr lang="de-DE" sz="240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oints</a:t>
            </a:r>
          </a:p>
        </xdr:txBody>
      </xdr:sp>
      <xdr:cxnSp macro="">
        <xdr:nvCxnSpPr>
          <xdr:cNvPr id="18" name="Linie Database_Assembly">
            <a:extLst>
              <a:ext uri="{FF2B5EF4-FFF2-40B4-BE49-F238E27FC236}">
                <a16:creationId xmlns:a16="http://schemas.microsoft.com/office/drawing/2014/main" id="{9DB590B7-8DAE-09B6-869F-485877004887}"/>
              </a:ext>
            </a:extLst>
          </xdr:cNvPr>
          <xdr:cNvCxnSpPr/>
        </xdr:nvCxnSpPr>
        <xdr:spPr>
          <a:xfrm>
            <a:off x="4281279" y="727215"/>
            <a:ext cx="4778223" cy="0"/>
          </a:xfrm>
          <a:prstGeom prst="line">
            <a:avLst/>
          </a:prstGeom>
          <a:ln>
            <a:solidFill>
              <a:schemeClr val="bg1">
                <a:lumMod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9" name="REPORTING_Assembly">
            <a:extLst>
              <a:ext uri="{FF2B5EF4-FFF2-40B4-BE49-F238E27FC236}">
                <a16:creationId xmlns:a16="http://schemas.microsoft.com/office/drawing/2014/main" id="{35B061A2-4C6B-D554-BB5B-FA5F485B770C}"/>
              </a:ext>
            </a:extLst>
          </xdr:cNvPr>
          <xdr:cNvSpPr txBox="1"/>
        </xdr:nvSpPr>
        <xdr:spPr>
          <a:xfrm>
            <a:off x="4853609" y="689114"/>
            <a:ext cx="4209432" cy="4414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 anchorCtr="0"/>
          <a:lstStyle/>
          <a:p>
            <a:r>
              <a:rPr lang="de-DE" sz="1400" b="0" i="0" u="none">
                <a:solidFill>
                  <a:schemeClr val="tx1">
                    <a:lumMod val="50000"/>
                    <a:lumOff val="50000"/>
                  </a:schemeClr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                  Project: PLM2 implementation TOC</a:t>
            </a:r>
            <a:endParaRPr lang="de-DE" sz="1400" b="1" i="0" u="sng">
              <a:solidFill>
                <a:schemeClr val="tx1">
                  <a:lumMod val="50000"/>
                  <a:lumOff val="50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pic>
        <xdr:nvPicPr>
          <xdr:cNvPr id="20" name="Grafik 19" descr="Werbung Silhouette">
            <a:extLst>
              <a:ext uri="{FF2B5EF4-FFF2-40B4-BE49-F238E27FC236}">
                <a16:creationId xmlns:a16="http://schemas.microsoft.com/office/drawing/2014/main" id="{B64C1414-8686-C0A9-7683-27E8F3135F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screen">
            <a:extLst>
              <a:ext uri="{28A0092B-C50C-407E-A947-70E740481C1C}">
                <a14:useLocalDpi xmlns:a14="http://schemas.microsoft.com/office/drawing/2010/main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4281280" y="143355"/>
            <a:ext cx="540828" cy="542357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62390</xdr:colOff>
      <xdr:row>0</xdr:row>
      <xdr:rowOff>56474</xdr:rowOff>
    </xdr:from>
    <xdr:to>
      <xdr:col>3</xdr:col>
      <xdr:colOff>788594</xdr:colOff>
      <xdr:row>0</xdr:row>
      <xdr:rowOff>285326</xdr:rowOff>
    </xdr:to>
    <xdr:grpSp>
      <xdr:nvGrpSpPr>
        <xdr:cNvPr id="3" name="New LOP Sheet">
          <a:extLst>
            <a:ext uri="{FF2B5EF4-FFF2-40B4-BE49-F238E27FC236}">
              <a16:creationId xmlns:a16="http://schemas.microsoft.com/office/drawing/2014/main" id="{429B1936-7EAA-9F68-04BE-964B9E7DFC88}"/>
            </a:ext>
          </a:extLst>
        </xdr:cNvPr>
        <xdr:cNvGrpSpPr/>
      </xdr:nvGrpSpPr>
      <xdr:grpSpPr>
        <a:xfrm>
          <a:off x="1792578" y="56474"/>
          <a:ext cx="1586816" cy="228852"/>
          <a:chOff x="1579306" y="76815"/>
          <a:chExt cx="1499420" cy="230444"/>
        </a:xfrm>
      </xdr:grpSpPr>
      <xdr:sp macro="[0]!KopiereWerteAktiveZeile" textlink="">
        <xdr:nvSpPr>
          <xdr:cNvPr id="2" name="Rechteck 1">
            <a:extLst>
              <a:ext uri="{FF2B5EF4-FFF2-40B4-BE49-F238E27FC236}">
                <a16:creationId xmlns:a16="http://schemas.microsoft.com/office/drawing/2014/main" id="{E4E0B9E9-0631-7CD4-3E87-C8CAA5345006}"/>
              </a:ext>
            </a:extLst>
          </xdr:cNvPr>
          <xdr:cNvSpPr/>
        </xdr:nvSpPr>
        <xdr:spPr>
          <a:xfrm>
            <a:off x="1579306" y="76815"/>
            <a:ext cx="1499420" cy="230444"/>
          </a:xfrm>
          <a:prstGeom prst="rect">
            <a:avLst/>
          </a:prstGeom>
          <a:solidFill>
            <a:schemeClr val="accent4"/>
          </a:solidFill>
          <a:ln>
            <a:noFill/>
          </a:ln>
          <a:scene3d>
            <a:camera prst="orthographicFront"/>
            <a:lightRig rig="threePt" dir="t"/>
          </a:scene3d>
          <a:sp3d extrusionH="44450">
            <a:bevelT w="12700" h="12700"/>
            <a:bevelB w="12700" h="12700"/>
            <a:contourClr>
              <a:schemeClr val="bg1">
                <a:lumMod val="50000"/>
              </a:schemeClr>
            </a:contourClr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36000" bIns="0" rtlCol="0" anchor="ctr" anchorCtr="0"/>
          <a:lstStyle/>
          <a:p>
            <a:pPr algn="r"/>
            <a:r>
              <a:rPr lang="de-DE" sz="1200" b="0" baseline="0">
                <a:solidFill>
                  <a:srgbClr val="C00000"/>
                </a:solidFill>
              </a:rPr>
              <a:t>AGENDA Point</a:t>
            </a:r>
            <a:endParaRPr lang="de-DE" sz="1200" b="0">
              <a:solidFill>
                <a:srgbClr val="C00000"/>
              </a:solidFill>
            </a:endParaRPr>
          </a:p>
        </xdr:txBody>
      </xdr:sp>
      <xdr:pic macro="[0]!KopiereWerteAktiveZeile">
        <xdr:nvPicPr>
          <xdr:cNvPr id="42" name="Grafik 41" descr="Klemmbrett teilweise angekreuzt mit einfarbiger Füllung">
            <a:extLst>
              <a:ext uri="{FF2B5EF4-FFF2-40B4-BE49-F238E27FC236}">
                <a16:creationId xmlns:a16="http://schemas.microsoft.com/office/drawing/2014/main" id="{6EA97D82-C0BE-8348-9902-9AEC6C0AF0E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/>
        </xdr:blipFill>
        <xdr:spPr>
          <a:xfrm>
            <a:off x="1636233" y="92006"/>
            <a:ext cx="188600" cy="197453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62390</xdr:colOff>
      <xdr:row>1</xdr:row>
      <xdr:rowOff>98094</xdr:rowOff>
    </xdr:from>
    <xdr:to>
      <xdr:col>3</xdr:col>
      <xdr:colOff>788594</xdr:colOff>
      <xdr:row>2</xdr:row>
      <xdr:rowOff>18103</xdr:rowOff>
    </xdr:to>
    <xdr:grpSp>
      <xdr:nvGrpSpPr>
        <xdr:cNvPr id="34" name="Clear Filter">
          <a:extLst>
            <a:ext uri="{FF2B5EF4-FFF2-40B4-BE49-F238E27FC236}">
              <a16:creationId xmlns:a16="http://schemas.microsoft.com/office/drawing/2014/main" id="{62D8811E-7B30-D580-6EDD-2ED684C86405}"/>
            </a:ext>
          </a:extLst>
        </xdr:cNvPr>
        <xdr:cNvGrpSpPr/>
      </xdr:nvGrpSpPr>
      <xdr:grpSpPr>
        <a:xfrm>
          <a:off x="1792578" y="420823"/>
          <a:ext cx="1586816" cy="242739"/>
          <a:chOff x="1579538" y="352653"/>
          <a:chExt cx="1499651" cy="230444"/>
        </a:xfrm>
      </xdr:grpSpPr>
      <xdr:sp macro="[0]!Filter_loeschen" textlink="">
        <xdr:nvSpPr>
          <xdr:cNvPr id="28" name="Rechteck 27">
            <a:extLst>
              <a:ext uri="{FF2B5EF4-FFF2-40B4-BE49-F238E27FC236}">
                <a16:creationId xmlns:a16="http://schemas.microsoft.com/office/drawing/2014/main" id="{F854BF20-2EEA-E946-5B99-21AE142E2EF4}"/>
              </a:ext>
            </a:extLst>
          </xdr:cNvPr>
          <xdr:cNvSpPr/>
        </xdr:nvSpPr>
        <xdr:spPr>
          <a:xfrm>
            <a:off x="1579538" y="352653"/>
            <a:ext cx="1499651" cy="230444"/>
          </a:xfrm>
          <a:prstGeom prst="rect">
            <a:avLst/>
          </a:prstGeom>
          <a:solidFill>
            <a:schemeClr val="bg1">
              <a:lumMod val="75000"/>
            </a:schemeClr>
          </a:solidFill>
          <a:ln>
            <a:noFill/>
          </a:ln>
          <a:scene3d>
            <a:camera prst="orthographicFront"/>
            <a:lightRig rig="threePt" dir="t"/>
          </a:scene3d>
          <a:sp3d extrusionH="44450">
            <a:bevelT w="12700" h="12700"/>
            <a:bevelB w="12700" h="12700"/>
            <a:contourClr>
              <a:schemeClr val="bg1">
                <a:lumMod val="50000"/>
              </a:schemeClr>
            </a:contourClr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36000" bIns="0" rtlCol="0" anchor="ctr" anchorCtr="0"/>
          <a:lstStyle/>
          <a:p>
            <a:pPr algn="r"/>
            <a:r>
              <a:rPr lang="de-DE" sz="1200" b="0">
                <a:solidFill>
                  <a:sysClr val="windowText" lastClr="000000"/>
                </a:solidFill>
              </a:rPr>
              <a:t>Clear Filter Selection</a:t>
            </a:r>
          </a:p>
        </xdr:txBody>
      </xdr:sp>
      <xdr:pic macro="[0]!Filter_loeschen">
        <xdr:nvPicPr>
          <xdr:cNvPr id="45" name="Grafik 44" descr="Filter Silhouette">
            <a:extLst>
              <a:ext uri="{FF2B5EF4-FFF2-40B4-BE49-F238E27FC236}">
                <a16:creationId xmlns:a16="http://schemas.microsoft.com/office/drawing/2014/main" id="{8CA76BF6-E30F-2817-4237-47F89C9D364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632152" y="367368"/>
            <a:ext cx="207301" cy="197388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62390</xdr:colOff>
      <xdr:row>2</xdr:row>
      <xdr:rowOff>78155</xdr:rowOff>
    </xdr:from>
    <xdr:to>
      <xdr:col>3</xdr:col>
      <xdr:colOff>788594</xdr:colOff>
      <xdr:row>3</xdr:row>
      <xdr:rowOff>624</xdr:rowOff>
    </xdr:to>
    <xdr:grpSp>
      <xdr:nvGrpSpPr>
        <xdr:cNvPr id="33" name="Delete LOP Point">
          <a:extLst>
            <a:ext uri="{FF2B5EF4-FFF2-40B4-BE49-F238E27FC236}">
              <a16:creationId xmlns:a16="http://schemas.microsoft.com/office/drawing/2014/main" id="{8288318B-3FD8-CDEC-F573-5F50EE9208DF}"/>
            </a:ext>
          </a:extLst>
        </xdr:cNvPr>
        <xdr:cNvGrpSpPr/>
      </xdr:nvGrpSpPr>
      <xdr:grpSpPr>
        <a:xfrm>
          <a:off x="1792578" y="723614"/>
          <a:ext cx="1586816" cy="245198"/>
          <a:chOff x="1579538" y="614590"/>
          <a:chExt cx="1499651" cy="227636"/>
        </a:xfrm>
      </xdr:grpSpPr>
      <xdr:sp macro="[0]!CommandButton2_Click" textlink="">
        <xdr:nvSpPr>
          <xdr:cNvPr id="30" name="Rechteck 29">
            <a:extLst>
              <a:ext uri="{FF2B5EF4-FFF2-40B4-BE49-F238E27FC236}">
                <a16:creationId xmlns:a16="http://schemas.microsoft.com/office/drawing/2014/main" id="{B6CE06BA-6E8D-C9B4-5C27-E15B210555DA}"/>
              </a:ext>
            </a:extLst>
          </xdr:cNvPr>
          <xdr:cNvSpPr/>
        </xdr:nvSpPr>
        <xdr:spPr>
          <a:xfrm>
            <a:off x="1579538" y="614590"/>
            <a:ext cx="1499651" cy="227636"/>
          </a:xfrm>
          <a:prstGeom prst="rect">
            <a:avLst/>
          </a:prstGeom>
          <a:solidFill>
            <a:schemeClr val="bg1">
              <a:lumMod val="75000"/>
            </a:schemeClr>
          </a:solidFill>
          <a:ln>
            <a:noFill/>
          </a:ln>
          <a:scene3d>
            <a:camera prst="orthographicFront"/>
            <a:lightRig rig="threePt" dir="t"/>
          </a:scene3d>
          <a:sp3d extrusionH="44450">
            <a:bevelT w="12700" h="12700"/>
            <a:bevelB w="12700" h="12700"/>
            <a:contourClr>
              <a:schemeClr val="bg1">
                <a:lumMod val="50000"/>
              </a:schemeClr>
            </a:contourClr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36000" bIns="0" rtlCol="0" anchor="ctr" anchorCtr="0"/>
          <a:lstStyle/>
          <a:p>
            <a:pPr algn="r"/>
            <a:r>
              <a:rPr lang="de-DE" sz="1200" b="0">
                <a:solidFill>
                  <a:sysClr val="windowText" lastClr="000000"/>
                </a:solidFill>
              </a:rPr>
              <a:t>Delete LOP Point</a:t>
            </a:r>
          </a:p>
        </xdr:txBody>
      </xdr:sp>
      <xdr:pic macro="[0]!CommandButton2_Click">
        <xdr:nvPicPr>
          <xdr:cNvPr id="5" name="Grafik 4" descr="Radierer Silhouette">
            <a:extLst>
              <a:ext uri="{FF2B5EF4-FFF2-40B4-BE49-F238E27FC236}">
                <a16:creationId xmlns:a16="http://schemas.microsoft.com/office/drawing/2014/main" id="{25019D4D-AAF3-DCD4-E0F6-ADB3172E2B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624043" y="626784"/>
            <a:ext cx="196593" cy="195587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62390</xdr:colOff>
      <xdr:row>3</xdr:row>
      <xdr:rowOff>56632</xdr:rowOff>
    </xdr:from>
    <xdr:to>
      <xdr:col>3</xdr:col>
      <xdr:colOff>788594</xdr:colOff>
      <xdr:row>3</xdr:row>
      <xdr:rowOff>285171</xdr:rowOff>
    </xdr:to>
    <xdr:grpSp>
      <xdr:nvGrpSpPr>
        <xdr:cNvPr id="32" name="New LOP Point">
          <a:extLst>
            <a:ext uri="{FF2B5EF4-FFF2-40B4-BE49-F238E27FC236}">
              <a16:creationId xmlns:a16="http://schemas.microsoft.com/office/drawing/2014/main" id="{72297CC9-9A0A-939A-D6C0-0586D04C7C8B}"/>
            </a:ext>
          </a:extLst>
        </xdr:cNvPr>
        <xdr:cNvGrpSpPr/>
      </xdr:nvGrpSpPr>
      <xdr:grpSpPr>
        <a:xfrm>
          <a:off x="1792578" y="1024820"/>
          <a:ext cx="1586816" cy="228539"/>
          <a:chOff x="1579538" y="884166"/>
          <a:chExt cx="1499651" cy="227636"/>
        </a:xfrm>
      </xdr:grpSpPr>
      <xdr:sp macro="[0]!New_Point" textlink="">
        <xdr:nvSpPr>
          <xdr:cNvPr id="31" name="Rechteck 30">
            <a:extLst>
              <a:ext uri="{FF2B5EF4-FFF2-40B4-BE49-F238E27FC236}">
                <a16:creationId xmlns:a16="http://schemas.microsoft.com/office/drawing/2014/main" id="{F017C448-5D5B-8C73-0624-68F5191FDF6C}"/>
              </a:ext>
            </a:extLst>
          </xdr:cNvPr>
          <xdr:cNvSpPr/>
        </xdr:nvSpPr>
        <xdr:spPr>
          <a:xfrm>
            <a:off x="1579538" y="884166"/>
            <a:ext cx="1499651" cy="227636"/>
          </a:xfrm>
          <a:prstGeom prst="rect">
            <a:avLst/>
          </a:prstGeom>
          <a:solidFill>
            <a:srgbClr val="92D050"/>
          </a:solidFill>
          <a:ln>
            <a:noFill/>
          </a:ln>
          <a:scene3d>
            <a:camera prst="orthographicFront"/>
            <a:lightRig rig="threePt" dir="t"/>
          </a:scene3d>
          <a:sp3d extrusionH="44450">
            <a:bevelT w="12700" h="12700"/>
            <a:bevelB w="12700" h="12700"/>
            <a:contourClr>
              <a:schemeClr val="bg1">
                <a:lumMod val="50000"/>
              </a:schemeClr>
            </a:contourClr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36000" bIns="0" rtlCol="0" anchor="ctr" anchorCtr="0"/>
          <a:lstStyle/>
          <a:p>
            <a:pPr algn="r"/>
            <a:r>
              <a:rPr lang="de-DE" sz="1200" b="0">
                <a:solidFill>
                  <a:sysClr val="windowText" lastClr="000000"/>
                </a:solidFill>
              </a:rPr>
              <a:t>New LOP Point</a:t>
            </a:r>
          </a:p>
        </xdr:txBody>
      </xdr:sp>
      <xdr:pic macro="[0]!New_Point">
        <xdr:nvPicPr>
          <xdr:cNvPr id="7" name="Grafik 6" descr="new Point">
            <a:extLst>
              <a:ext uri="{FF2B5EF4-FFF2-40B4-BE49-F238E27FC236}">
                <a16:creationId xmlns:a16="http://schemas.microsoft.com/office/drawing/2014/main" id="{75A76C04-FDDC-5792-D2A6-A5C457991435}"/>
              </a:ext>
              <a:ext uri="{C183D7F6-B498-43B3-948B-1728B52AA6E4}">
                <adec:decorative xmlns:adec="http://schemas.microsoft.com/office/drawing/2017/decorative" val="0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630866" y="897940"/>
            <a:ext cx="195606" cy="195587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20086</xdr:colOff>
      <xdr:row>1</xdr:row>
      <xdr:rowOff>19019</xdr:rowOff>
    </xdr:from>
    <xdr:to>
      <xdr:col>1</xdr:col>
      <xdr:colOff>915660</xdr:colOff>
      <xdr:row>1</xdr:row>
      <xdr:rowOff>19024</xdr:rowOff>
    </xdr:to>
    <xdr:sp macro="" textlink="">
      <xdr:nvSpPr>
        <xdr:cNvPr id="39" name="Rechteck 38">
          <a:extLst>
            <a:ext uri="{FF2B5EF4-FFF2-40B4-BE49-F238E27FC236}">
              <a16:creationId xmlns:a16="http://schemas.microsoft.com/office/drawing/2014/main" id="{569B269D-4552-393B-E1D9-4242176A8BF6}"/>
            </a:ext>
          </a:extLst>
        </xdr:cNvPr>
        <xdr:cNvSpPr/>
      </xdr:nvSpPr>
      <xdr:spPr>
        <a:xfrm rot="5400000">
          <a:off x="814823" y="-472188"/>
          <a:ext cx="10800" cy="1621864"/>
        </a:xfrm>
        <a:prstGeom prst="rect">
          <a:avLst/>
        </a:prstGeom>
        <a:gradFill>
          <a:gsLst>
            <a:gs pos="0">
              <a:schemeClr val="bg1"/>
            </a:gs>
            <a:gs pos="99083">
              <a:schemeClr val="bg1"/>
            </a:gs>
            <a:gs pos="76147">
              <a:schemeClr val="accent2"/>
            </a:gs>
            <a:gs pos="23000">
              <a:schemeClr val="accent2"/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4</xdr:col>
      <xdr:colOff>254718</xdr:colOff>
      <xdr:row>3</xdr:row>
      <xdr:rowOff>150394</xdr:rowOff>
    </xdr:from>
    <xdr:to>
      <xdr:col>4</xdr:col>
      <xdr:colOff>5257850</xdr:colOff>
      <xdr:row>4</xdr:row>
      <xdr:rowOff>0</xdr:rowOff>
    </xdr:to>
    <xdr:sp macro="" textlink="">
      <xdr:nvSpPr>
        <xdr:cNvPr id="1028" name="Text Box 4">
          <a:extLst>
            <a:ext uri="{FF2B5EF4-FFF2-40B4-BE49-F238E27FC236}">
              <a16:creationId xmlns:a16="http://schemas.microsoft.com/office/drawing/2014/main" id="{E2A934DB-0468-0086-77D6-892DC14BA455}"/>
            </a:ext>
          </a:extLst>
        </xdr:cNvPr>
        <xdr:cNvSpPr txBox="1">
          <a:spLocks noChangeArrowheads="1"/>
        </xdr:cNvSpPr>
      </xdr:nvSpPr>
      <xdr:spPr bwMode="auto">
        <a:xfrm>
          <a:off x="3899066" y="1094611"/>
          <a:ext cx="5003132" cy="164346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>
          <a:noFill/>
          <a:miter lim="800000"/>
          <a:headEnd/>
          <a:tailEnd/>
        </a:ln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DE" sz="900" b="0" i="0" u="none" strike="noStrike" baseline="0">
              <a:solidFill>
                <a:srgbClr val="FF0000"/>
              </a:solidFill>
              <a:latin typeface="Calibri"/>
              <a:cs typeface="Calibri"/>
            </a:rPr>
            <a:t> Please do not Delete Row 8 or LOP Pos. 1 | For a new LOP list, enter the date in CELL "B8"</a:t>
          </a:r>
        </a:p>
      </xdr:txBody>
    </xdr:sp>
    <xdr:clientData/>
  </xdr:twoCellAnchor>
  <xdr:twoCellAnchor editAs="absolute">
    <xdr:from>
      <xdr:col>0</xdr:col>
      <xdr:colOff>91502</xdr:colOff>
      <xdr:row>0</xdr:row>
      <xdr:rowOff>56474</xdr:rowOff>
    </xdr:from>
    <xdr:to>
      <xdr:col>1</xdr:col>
      <xdr:colOff>720051</xdr:colOff>
      <xdr:row>0</xdr:row>
      <xdr:rowOff>285326</xdr:rowOff>
    </xdr:to>
    <xdr:grpSp>
      <xdr:nvGrpSpPr>
        <xdr:cNvPr id="8" name="New LOP Sheet">
          <a:extLst>
            <a:ext uri="{FF2B5EF4-FFF2-40B4-BE49-F238E27FC236}">
              <a16:creationId xmlns:a16="http://schemas.microsoft.com/office/drawing/2014/main" id="{6E3C5B0D-5E3E-233D-7C1A-1CB7717D293D}"/>
            </a:ext>
          </a:extLst>
        </xdr:cNvPr>
        <xdr:cNvGrpSpPr/>
      </xdr:nvGrpSpPr>
      <xdr:grpSpPr>
        <a:xfrm>
          <a:off x="91502" y="56474"/>
          <a:ext cx="1363655" cy="228852"/>
          <a:chOff x="1579307" y="76815"/>
          <a:chExt cx="1293202" cy="230444"/>
        </a:xfrm>
      </xdr:grpSpPr>
      <xdr:sp macro="[0]!New_Lop_Sheet" textlink="">
        <xdr:nvSpPr>
          <xdr:cNvPr id="22" name="Rechteck 21">
            <a:extLst>
              <a:ext uri="{FF2B5EF4-FFF2-40B4-BE49-F238E27FC236}">
                <a16:creationId xmlns:a16="http://schemas.microsoft.com/office/drawing/2014/main" id="{383D1C1B-704F-F4DD-9A44-BF4ACDECBFE9}"/>
              </a:ext>
            </a:extLst>
          </xdr:cNvPr>
          <xdr:cNvSpPr/>
        </xdr:nvSpPr>
        <xdr:spPr>
          <a:xfrm>
            <a:off x="1579307" y="76815"/>
            <a:ext cx="1293202" cy="230444"/>
          </a:xfrm>
          <a:prstGeom prst="rect">
            <a:avLst/>
          </a:prstGeom>
          <a:solidFill>
            <a:srgbClr val="C00000"/>
          </a:solidFill>
          <a:ln>
            <a:noFill/>
          </a:ln>
          <a:scene3d>
            <a:camera prst="orthographicFront"/>
            <a:lightRig rig="threePt" dir="t"/>
          </a:scene3d>
          <a:sp3d extrusionH="44450">
            <a:bevelT w="12700" h="12700"/>
            <a:bevelB w="12700" h="12700"/>
            <a:contourClr>
              <a:schemeClr val="bg1">
                <a:lumMod val="50000"/>
              </a:schemeClr>
            </a:contourClr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36000" bIns="0" rtlCol="0" anchor="ctr" anchorCtr="0"/>
          <a:lstStyle/>
          <a:p>
            <a:pPr algn="r"/>
            <a:r>
              <a:rPr lang="de-DE" sz="1200" b="0">
                <a:solidFill>
                  <a:schemeClr val="bg1"/>
                </a:solidFill>
              </a:rPr>
              <a:t>New</a:t>
            </a:r>
            <a:r>
              <a:rPr lang="de-DE" sz="1200" b="0" baseline="0">
                <a:solidFill>
                  <a:schemeClr val="bg1"/>
                </a:solidFill>
              </a:rPr>
              <a:t> LOP Sheet</a:t>
            </a:r>
            <a:endParaRPr lang="de-DE" sz="1200" b="0">
              <a:solidFill>
                <a:schemeClr val="bg1"/>
              </a:solidFill>
            </a:endParaRPr>
          </a:p>
        </xdr:txBody>
      </xdr:sp>
      <xdr:pic macro="[0]!New_Lop_Sheet">
        <xdr:nvPicPr>
          <xdr:cNvPr id="25" name="Grafik 24" descr="Anfangen Silhouette">
            <a:extLst>
              <a:ext uri="{FF2B5EF4-FFF2-40B4-BE49-F238E27FC236}">
                <a16:creationId xmlns:a16="http://schemas.microsoft.com/office/drawing/2014/main" id="{A6EBCD1B-1FA8-4EC6-3C42-B359C7C02B0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rcRect/>
          <a:stretch/>
        </xdr:blipFill>
        <xdr:spPr>
          <a:xfrm>
            <a:off x="1635730" y="91867"/>
            <a:ext cx="189608" cy="19773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899097</xdr:colOff>
      <xdr:row>0</xdr:row>
      <xdr:rowOff>0</xdr:rowOff>
    </xdr:from>
    <xdr:to>
      <xdr:col>3</xdr:col>
      <xdr:colOff>900152</xdr:colOff>
      <xdr:row>4</xdr:row>
      <xdr:rowOff>17590</xdr:rowOff>
    </xdr:to>
    <xdr:sp macro="" textlink="">
      <xdr:nvSpPr>
        <xdr:cNvPr id="26" name="Rechteck 25">
          <a:extLst>
            <a:ext uri="{FF2B5EF4-FFF2-40B4-BE49-F238E27FC236}">
              <a16:creationId xmlns:a16="http://schemas.microsoft.com/office/drawing/2014/main" id="{E39E5C34-9F95-5C8A-695E-E6433457F341}"/>
            </a:ext>
          </a:extLst>
        </xdr:cNvPr>
        <xdr:cNvSpPr/>
      </xdr:nvSpPr>
      <xdr:spPr>
        <a:xfrm>
          <a:off x="3408058" y="0"/>
          <a:ext cx="5295" cy="1296000"/>
        </a:xfrm>
        <a:prstGeom prst="rect">
          <a:avLst/>
        </a:prstGeom>
        <a:gradFill>
          <a:gsLst>
            <a:gs pos="0">
              <a:schemeClr val="bg1"/>
            </a:gs>
            <a:gs pos="42000">
              <a:schemeClr val="accent2"/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absolute">
    <xdr:from>
      <xdr:col>1</xdr:col>
      <xdr:colOff>915701</xdr:colOff>
      <xdr:row>0</xdr:row>
      <xdr:rowOff>0</xdr:rowOff>
    </xdr:from>
    <xdr:to>
      <xdr:col>1</xdr:col>
      <xdr:colOff>916756</xdr:colOff>
      <xdr:row>4</xdr:row>
      <xdr:rowOff>17590</xdr:rowOff>
    </xdr:to>
    <xdr:sp macro="" textlink="">
      <xdr:nvSpPr>
        <xdr:cNvPr id="27" name="Rechteck 26">
          <a:extLst>
            <a:ext uri="{FF2B5EF4-FFF2-40B4-BE49-F238E27FC236}">
              <a16:creationId xmlns:a16="http://schemas.microsoft.com/office/drawing/2014/main" id="{5960FC6D-C9F3-49BD-7DB5-31B0A61841D0}"/>
            </a:ext>
          </a:extLst>
        </xdr:cNvPr>
        <xdr:cNvSpPr/>
      </xdr:nvSpPr>
      <xdr:spPr>
        <a:xfrm>
          <a:off x="1633736" y="0"/>
          <a:ext cx="5295" cy="1289495"/>
        </a:xfrm>
        <a:prstGeom prst="rect">
          <a:avLst/>
        </a:prstGeom>
        <a:gradFill>
          <a:gsLst>
            <a:gs pos="0">
              <a:schemeClr val="bg1"/>
            </a:gs>
            <a:gs pos="42000">
              <a:schemeClr val="accent2"/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absolute">
    <xdr:from>
      <xdr:col>0</xdr:col>
      <xdr:colOff>20086</xdr:colOff>
      <xdr:row>2</xdr:row>
      <xdr:rowOff>303562</xdr:rowOff>
    </xdr:from>
    <xdr:to>
      <xdr:col>1</xdr:col>
      <xdr:colOff>915660</xdr:colOff>
      <xdr:row>3</xdr:row>
      <xdr:rowOff>37</xdr:rowOff>
    </xdr:to>
    <xdr:sp macro="" textlink="">
      <xdr:nvSpPr>
        <xdr:cNvPr id="29" name="Rechteck 28">
          <a:extLst>
            <a:ext uri="{FF2B5EF4-FFF2-40B4-BE49-F238E27FC236}">
              <a16:creationId xmlns:a16="http://schemas.microsoft.com/office/drawing/2014/main" id="{0AD27EB5-D2C0-1C17-5405-5BCAEFD248A3}"/>
            </a:ext>
          </a:extLst>
        </xdr:cNvPr>
        <xdr:cNvSpPr/>
      </xdr:nvSpPr>
      <xdr:spPr>
        <a:xfrm rot="5400000">
          <a:off x="815628" y="125070"/>
          <a:ext cx="10398" cy="1623071"/>
        </a:xfrm>
        <a:prstGeom prst="rect">
          <a:avLst/>
        </a:prstGeom>
        <a:gradFill>
          <a:gsLst>
            <a:gs pos="0">
              <a:schemeClr val="bg1"/>
            </a:gs>
            <a:gs pos="99083">
              <a:schemeClr val="bg1"/>
            </a:gs>
            <a:gs pos="76147">
              <a:schemeClr val="accent2"/>
            </a:gs>
            <a:gs pos="23000">
              <a:schemeClr val="accent2"/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201706</xdr:colOff>
      <xdr:row>1</xdr:row>
      <xdr:rowOff>145677</xdr:rowOff>
    </xdr:from>
    <xdr:to>
      <xdr:col>1</xdr:col>
      <xdr:colOff>439751</xdr:colOff>
      <xdr:row>2</xdr:row>
      <xdr:rowOff>203388</xdr:rowOff>
    </xdr:to>
    <xdr:pic>
      <xdr:nvPicPr>
        <xdr:cNvPr id="4" name="Grafik 3" descr="Logo KTX">
          <a:extLst>
            <a:ext uri="{FF2B5EF4-FFF2-40B4-BE49-F238E27FC236}">
              <a16:creationId xmlns:a16="http://schemas.microsoft.com/office/drawing/2014/main" id="{07DEA5D6-414F-4686-87D7-9CCCDC9C5E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 r:link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1706" y="459442"/>
          <a:ext cx="955221" cy="371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465828</xdr:colOff>
      <xdr:row>0</xdr:row>
      <xdr:rowOff>0</xdr:rowOff>
    </xdr:from>
    <xdr:to>
      <xdr:col>3</xdr:col>
      <xdr:colOff>291567</xdr:colOff>
      <xdr:row>3</xdr:row>
      <xdr:rowOff>1835</xdr:rowOff>
    </xdr:to>
    <xdr:grpSp>
      <xdr:nvGrpSpPr>
        <xdr:cNvPr id="2" name="Beschriftung">
          <a:extLst>
            <a:ext uri="{FF2B5EF4-FFF2-40B4-BE49-F238E27FC236}">
              <a16:creationId xmlns:a16="http://schemas.microsoft.com/office/drawing/2014/main" id="{60AEC5A3-504E-4BAA-B71B-09FC54B800E7}"/>
            </a:ext>
          </a:extLst>
        </xdr:cNvPr>
        <xdr:cNvGrpSpPr/>
      </xdr:nvGrpSpPr>
      <xdr:grpSpPr>
        <a:xfrm>
          <a:off x="2339452" y="0"/>
          <a:ext cx="5186633" cy="970023"/>
          <a:chOff x="4281279" y="143355"/>
          <a:chExt cx="5021380" cy="987222"/>
        </a:xfrm>
      </xdr:grpSpPr>
      <xdr:sp macro="" textlink="">
        <xdr:nvSpPr>
          <xdr:cNvPr id="3" name="Database_Assembly">
            <a:extLst>
              <a:ext uri="{FF2B5EF4-FFF2-40B4-BE49-F238E27FC236}">
                <a16:creationId xmlns:a16="http://schemas.microsoft.com/office/drawing/2014/main" id="{F1E043BE-C764-173B-EC3F-0B3CEB4FE443}"/>
              </a:ext>
            </a:extLst>
          </xdr:cNvPr>
          <xdr:cNvSpPr txBox="1"/>
        </xdr:nvSpPr>
        <xdr:spPr>
          <a:xfrm>
            <a:off x="4853608" y="256761"/>
            <a:ext cx="4449051" cy="4406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 anchorCtr="0"/>
          <a:lstStyle/>
          <a:p>
            <a:r>
              <a:rPr lang="de-DE" sz="2400" b="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 AGENDA Projectmeeting</a:t>
            </a:r>
          </a:p>
        </xdr:txBody>
      </xdr:sp>
      <xdr:cxnSp macro="">
        <xdr:nvCxnSpPr>
          <xdr:cNvPr id="4" name="Linie Database_Assembly">
            <a:extLst>
              <a:ext uri="{FF2B5EF4-FFF2-40B4-BE49-F238E27FC236}">
                <a16:creationId xmlns:a16="http://schemas.microsoft.com/office/drawing/2014/main" id="{0BE9DD6C-D75B-C661-4001-FC434870CCE6}"/>
              </a:ext>
            </a:extLst>
          </xdr:cNvPr>
          <xdr:cNvCxnSpPr/>
        </xdr:nvCxnSpPr>
        <xdr:spPr>
          <a:xfrm>
            <a:off x="4281279" y="727215"/>
            <a:ext cx="4778223" cy="0"/>
          </a:xfrm>
          <a:prstGeom prst="line">
            <a:avLst/>
          </a:prstGeom>
          <a:ln>
            <a:solidFill>
              <a:schemeClr val="bg1">
                <a:lumMod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" name="REPORTING_Assembly">
            <a:extLst>
              <a:ext uri="{FF2B5EF4-FFF2-40B4-BE49-F238E27FC236}">
                <a16:creationId xmlns:a16="http://schemas.microsoft.com/office/drawing/2014/main" id="{A7A8FB53-492B-57E2-CE6E-5F4A8773D977}"/>
              </a:ext>
            </a:extLst>
          </xdr:cNvPr>
          <xdr:cNvSpPr txBox="1"/>
        </xdr:nvSpPr>
        <xdr:spPr>
          <a:xfrm>
            <a:off x="4853609" y="689114"/>
            <a:ext cx="4209432" cy="4414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 anchorCtr="0"/>
          <a:lstStyle/>
          <a:p>
            <a:r>
              <a:rPr lang="de-DE" sz="1400" b="0" i="0" u="none">
                <a:solidFill>
                  <a:schemeClr val="tx1">
                    <a:lumMod val="50000"/>
                    <a:lumOff val="50000"/>
                  </a:schemeClr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EP-FO-012                    </a:t>
            </a:r>
            <a:r>
              <a:rPr lang="de-DE" sz="1400" b="1" i="0" u="sng">
                <a:solidFill>
                  <a:schemeClr val="tx1">
                    <a:lumMod val="50000"/>
                    <a:lumOff val="50000"/>
                  </a:schemeClr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Project: G6x-1748</a:t>
            </a:r>
          </a:p>
        </xdr:txBody>
      </xdr:sp>
      <xdr:pic>
        <xdr:nvPicPr>
          <xdr:cNvPr id="6" name="Grafik 5" descr="Werbung Silhouette">
            <a:extLst>
              <a:ext uri="{FF2B5EF4-FFF2-40B4-BE49-F238E27FC236}">
                <a16:creationId xmlns:a16="http://schemas.microsoft.com/office/drawing/2014/main" id="{FB33487E-9388-8D6A-64CA-3BC08C4394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screen">
            <a:extLst>
              <a:ext uri="{28A0092B-C50C-407E-A947-70E740481C1C}">
                <a14:useLocalDpi xmlns:a14="http://schemas.microsoft.com/office/drawing/2010/main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4281280" y="143355"/>
            <a:ext cx="540828" cy="542357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773206</xdr:colOff>
      <xdr:row>0</xdr:row>
      <xdr:rowOff>95836</xdr:rowOff>
    </xdr:from>
    <xdr:to>
      <xdr:col>4</xdr:col>
      <xdr:colOff>1236223</xdr:colOff>
      <xdr:row>1</xdr:row>
      <xdr:rowOff>18716</xdr:rowOff>
    </xdr:to>
    <xdr:grpSp>
      <xdr:nvGrpSpPr>
        <xdr:cNvPr id="7" name="back to LOP Sheet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1092F8F-CCC5-4341-AED2-C26228D4DEB1}"/>
            </a:ext>
          </a:extLst>
        </xdr:cNvPr>
        <xdr:cNvGrpSpPr/>
      </xdr:nvGrpSpPr>
      <xdr:grpSpPr>
        <a:xfrm>
          <a:off x="8007724" y="95836"/>
          <a:ext cx="1610499" cy="245609"/>
          <a:chOff x="1579306" y="76815"/>
          <a:chExt cx="1499420" cy="230444"/>
        </a:xfrm>
      </xdr:grpSpPr>
      <xdr:sp macro="" textlink="">
        <xdr:nvSpPr>
          <xdr:cNvPr id="8" name="Rechteck 7">
            <a:extLst>
              <a:ext uri="{FF2B5EF4-FFF2-40B4-BE49-F238E27FC236}">
                <a16:creationId xmlns:a16="http://schemas.microsoft.com/office/drawing/2014/main" id="{D20C5065-AD0D-4024-787F-9B53BFDEBDA8}"/>
              </a:ext>
            </a:extLst>
          </xdr:cNvPr>
          <xdr:cNvSpPr/>
        </xdr:nvSpPr>
        <xdr:spPr>
          <a:xfrm>
            <a:off x="1579306" y="76815"/>
            <a:ext cx="1499420" cy="230444"/>
          </a:xfrm>
          <a:prstGeom prst="rect">
            <a:avLst/>
          </a:prstGeom>
          <a:ln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lIns="0" tIns="0" rIns="36000" bIns="0" rtlCol="0" anchor="ctr" anchorCtr="0"/>
          <a:lstStyle/>
          <a:p>
            <a:pPr algn="r"/>
            <a:r>
              <a:rPr lang="de-DE" sz="1200" b="0">
                <a:solidFill>
                  <a:sysClr val="windowText" lastClr="000000"/>
                </a:solidFill>
              </a:rPr>
              <a:t>back To LOP-List</a:t>
            </a:r>
          </a:p>
        </xdr:txBody>
      </xdr:sp>
      <xdr:pic>
        <xdr:nvPicPr>
          <xdr:cNvPr id="9" name="Grafik 8" descr="Anfangen mit einfarbiger Füllung">
            <a:extLst>
              <a:ext uri="{FF2B5EF4-FFF2-40B4-BE49-F238E27FC236}">
                <a16:creationId xmlns:a16="http://schemas.microsoft.com/office/drawing/2014/main" id="{0CB9AFEB-589F-BD55-3178-B418B1ED747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/>
        </xdr:blipFill>
        <xdr:spPr>
          <a:xfrm>
            <a:off x="1636233" y="92529"/>
            <a:ext cx="188600" cy="196407"/>
          </a:xfrm>
          <a:prstGeom prst="rect">
            <a:avLst/>
          </a:prstGeom>
        </xdr:spPr>
      </xdr:pic>
    </xdr:grpSp>
    <xdr:clientData fPrintsWithSheet="0"/>
  </xdr:twoCellAnchor>
  <xdr:twoCellAnchor>
    <xdr:from>
      <xdr:col>6</xdr:col>
      <xdr:colOff>133813</xdr:colOff>
      <xdr:row>5</xdr:row>
      <xdr:rowOff>45867</xdr:rowOff>
    </xdr:from>
    <xdr:to>
      <xdr:col>6</xdr:col>
      <xdr:colOff>594354</xdr:colOff>
      <xdr:row>7</xdr:row>
      <xdr:rowOff>9525</xdr:rowOff>
    </xdr:to>
    <xdr:pic macro="[0]!CheckSelectionAndRunMacro_NEU">
      <xdr:nvPicPr>
        <xdr:cNvPr id="12" name="Grafik 11">
          <a:extLst>
            <a:ext uri="{FF2B5EF4-FFF2-40B4-BE49-F238E27FC236}">
              <a16:creationId xmlns:a16="http://schemas.microsoft.com/office/drawing/2014/main" id="{77FDCB3B-316E-A0B9-182C-582EA3AD039B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115888" y="1103142"/>
          <a:ext cx="460541" cy="420858"/>
        </a:xfrm>
        <a:prstGeom prst="rect">
          <a:avLst/>
        </a:prstGeom>
      </xdr:spPr>
    </xdr:pic>
    <xdr:clientData fPrintsWithSheet="0"/>
  </xdr:twoCellAnchor>
  <xdr:twoCellAnchor editAs="absolute">
    <xdr:from>
      <xdr:col>3</xdr:col>
      <xdr:colOff>773206</xdr:colOff>
      <xdr:row>1</xdr:row>
      <xdr:rowOff>173941</xdr:rowOff>
    </xdr:from>
    <xdr:to>
      <xdr:col>4</xdr:col>
      <xdr:colOff>1236223</xdr:colOff>
      <xdr:row>2</xdr:row>
      <xdr:rowOff>96821</xdr:rowOff>
    </xdr:to>
    <xdr:sp macro="[0]!delete" textlink="">
      <xdr:nvSpPr>
        <xdr:cNvPr id="11" name="Rechteck 10">
          <a:extLst>
            <a:ext uri="{FF2B5EF4-FFF2-40B4-BE49-F238E27FC236}">
              <a16:creationId xmlns:a16="http://schemas.microsoft.com/office/drawing/2014/main" id="{D0645A86-DFB9-2841-C2A5-B05581653569}"/>
            </a:ext>
          </a:extLst>
        </xdr:cNvPr>
        <xdr:cNvSpPr/>
      </xdr:nvSpPr>
      <xdr:spPr>
        <a:xfrm>
          <a:off x="7829550" y="499696"/>
          <a:ext cx="1559960" cy="229585"/>
        </a:xfrm>
        <a:prstGeom prst="rect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lIns="0" tIns="0" rIns="36000" bIns="0" rtlCol="0" anchor="ctr" anchorCtr="0"/>
        <a:lstStyle/>
        <a:p>
          <a:pPr algn="r"/>
          <a:r>
            <a:rPr lang="de-DE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delete old agenda items</a:t>
          </a:r>
          <a:endParaRPr lang="de-DE" sz="12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466725</xdr:colOff>
      <xdr:row>10</xdr:row>
      <xdr:rowOff>66675</xdr:rowOff>
    </xdr:from>
    <xdr:to>
      <xdr:col>0</xdr:col>
      <xdr:colOff>2000250</xdr:colOff>
      <xdr:row>11</xdr:row>
      <xdr:rowOff>133350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665B4B27-1480-5B0F-8DFC-E27BAE0C374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59476" b="78179"/>
        <a:stretch/>
      </xdr:blipFill>
      <xdr:spPr>
        <a:xfrm>
          <a:off x="466725" y="4381500"/>
          <a:ext cx="1533525" cy="314325"/>
        </a:xfrm>
        <a:prstGeom prst="rect">
          <a:avLst/>
        </a:prstGeom>
      </xdr:spPr>
    </xdr:pic>
    <xdr:clientData/>
  </xdr:twoCellAnchor>
  <xdr:twoCellAnchor>
    <xdr:from>
      <xdr:col>0</xdr:col>
      <xdr:colOff>2051540</xdr:colOff>
      <xdr:row>1</xdr:row>
      <xdr:rowOff>190500</xdr:rowOff>
    </xdr:from>
    <xdr:to>
      <xdr:col>1</xdr:col>
      <xdr:colOff>95250</xdr:colOff>
      <xdr:row>1</xdr:row>
      <xdr:rowOff>218344</xdr:rowOff>
    </xdr:to>
    <xdr:cxnSp macro="">
      <xdr:nvCxnSpPr>
        <xdr:cNvPr id="5" name="Gerade Verbindung mit Pfeil 4">
          <a:extLst>
            <a:ext uri="{FF2B5EF4-FFF2-40B4-BE49-F238E27FC236}">
              <a16:creationId xmlns:a16="http://schemas.microsoft.com/office/drawing/2014/main" id="{C87260CE-08D2-BD4C-3012-602F2FEFBF6E}"/>
            </a:ext>
          </a:extLst>
        </xdr:cNvPr>
        <xdr:cNvCxnSpPr>
          <a:stCxn id="10" idx="3"/>
        </xdr:cNvCxnSpPr>
      </xdr:nvCxnSpPr>
      <xdr:spPr>
        <a:xfrm flipV="1">
          <a:off x="2051540" y="190500"/>
          <a:ext cx="396385" cy="2784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1301261</xdr:colOff>
      <xdr:row>4</xdr:row>
      <xdr:rowOff>237392</xdr:rowOff>
    </xdr:from>
    <xdr:to>
      <xdr:col>1</xdr:col>
      <xdr:colOff>4419600</xdr:colOff>
      <xdr:row>5</xdr:row>
      <xdr:rowOff>1239077</xdr:rowOff>
    </xdr:to>
    <xdr:pic>
      <xdr:nvPicPr>
        <xdr:cNvPr id="9" name="Grafik 8">
          <a:extLst>
            <a:ext uri="{FF2B5EF4-FFF2-40B4-BE49-F238E27FC236}">
              <a16:creationId xmlns:a16="http://schemas.microsoft.com/office/drawing/2014/main" id="{E3A35CAC-D482-153B-1F0A-AB4FAF872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53936" y="980342"/>
          <a:ext cx="3118339" cy="1249335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 editAs="oneCell">
    <xdr:from>
      <xdr:col>0</xdr:col>
      <xdr:colOff>313594</xdr:colOff>
      <xdr:row>1</xdr:row>
      <xdr:rowOff>79132</xdr:rowOff>
    </xdr:from>
    <xdr:to>
      <xdr:col>0</xdr:col>
      <xdr:colOff>2051540</xdr:colOff>
      <xdr:row>2</xdr:row>
      <xdr:rowOff>109905</xdr:rowOff>
    </xdr:to>
    <xdr:pic>
      <xdr:nvPicPr>
        <xdr:cNvPr id="10" name="Grafik 9">
          <a:extLst>
            <a:ext uri="{FF2B5EF4-FFF2-40B4-BE49-F238E27FC236}">
              <a16:creationId xmlns:a16="http://schemas.microsoft.com/office/drawing/2014/main" id="{C6523762-1C29-4DCD-B0EC-B6AD0CEC0CF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46816" t="69737" r="7258" b="10931"/>
        <a:stretch/>
      </xdr:blipFill>
      <xdr:spPr>
        <a:xfrm>
          <a:off x="313594" y="79132"/>
          <a:ext cx="1737946" cy="279888"/>
        </a:xfrm>
        <a:prstGeom prst="rect">
          <a:avLst/>
        </a:prstGeom>
      </xdr:spPr>
    </xdr:pic>
    <xdr:clientData/>
  </xdr:twoCellAnchor>
  <xdr:twoCellAnchor editAs="oneCell">
    <xdr:from>
      <xdr:col>0</xdr:col>
      <xdr:colOff>312128</xdr:colOff>
      <xdr:row>3</xdr:row>
      <xdr:rowOff>83526</xdr:rowOff>
    </xdr:from>
    <xdr:to>
      <xdr:col>0</xdr:col>
      <xdr:colOff>2070589</xdr:colOff>
      <xdr:row>4</xdr:row>
      <xdr:rowOff>156796</xdr:rowOff>
    </xdr:to>
    <xdr:pic>
      <xdr:nvPicPr>
        <xdr:cNvPr id="13" name="Grafik 12">
          <a:extLst>
            <a:ext uri="{FF2B5EF4-FFF2-40B4-BE49-F238E27FC236}">
              <a16:creationId xmlns:a16="http://schemas.microsoft.com/office/drawing/2014/main" id="{F0B68464-5E32-4B4B-888A-2776F48B7EA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46044" t="47571" r="7524" b="30162"/>
        <a:stretch/>
      </xdr:blipFill>
      <xdr:spPr>
        <a:xfrm>
          <a:off x="312128" y="578826"/>
          <a:ext cx="1758461" cy="320920"/>
        </a:xfrm>
        <a:prstGeom prst="rect">
          <a:avLst/>
        </a:prstGeom>
      </xdr:spPr>
    </xdr:pic>
    <xdr:clientData/>
  </xdr:twoCellAnchor>
  <xdr:twoCellAnchor>
    <xdr:from>
      <xdr:col>0</xdr:col>
      <xdr:colOff>2051540</xdr:colOff>
      <xdr:row>3</xdr:row>
      <xdr:rowOff>219075</xdr:rowOff>
    </xdr:from>
    <xdr:to>
      <xdr:col>1</xdr:col>
      <xdr:colOff>114300</xdr:colOff>
      <xdr:row>3</xdr:row>
      <xdr:rowOff>238126</xdr:rowOff>
    </xdr:to>
    <xdr:cxnSp macro="">
      <xdr:nvCxnSpPr>
        <xdr:cNvPr id="14" name="Gerade Verbindung mit Pfeil 13">
          <a:extLst>
            <a:ext uri="{FF2B5EF4-FFF2-40B4-BE49-F238E27FC236}">
              <a16:creationId xmlns:a16="http://schemas.microsoft.com/office/drawing/2014/main" id="{2670CA19-AF18-1AB8-0DE3-BAB40DF12561}"/>
            </a:ext>
          </a:extLst>
        </xdr:cNvPr>
        <xdr:cNvCxnSpPr/>
      </xdr:nvCxnSpPr>
      <xdr:spPr>
        <a:xfrm flipV="1">
          <a:off x="2051540" y="714375"/>
          <a:ext cx="415435" cy="1905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533400</xdr:colOff>
      <xdr:row>5</xdr:row>
      <xdr:rowOff>1085850</xdr:rowOff>
    </xdr:from>
    <xdr:to>
      <xdr:col>1</xdr:col>
      <xdr:colOff>1485900</xdr:colOff>
      <xdr:row>5</xdr:row>
      <xdr:rowOff>1295400</xdr:rowOff>
    </xdr:to>
    <xdr:cxnSp macro="">
      <xdr:nvCxnSpPr>
        <xdr:cNvPr id="15" name="Gerade Verbindung mit Pfeil 14">
          <a:extLst>
            <a:ext uri="{FF2B5EF4-FFF2-40B4-BE49-F238E27FC236}">
              <a16:creationId xmlns:a16="http://schemas.microsoft.com/office/drawing/2014/main" id="{CA9E2DBD-0E33-20C8-A687-35F88248FE4E}"/>
            </a:ext>
          </a:extLst>
        </xdr:cNvPr>
        <xdr:cNvCxnSpPr/>
      </xdr:nvCxnSpPr>
      <xdr:spPr>
        <a:xfrm flipV="1">
          <a:off x="2886075" y="2076450"/>
          <a:ext cx="952500" cy="2095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619125</xdr:colOff>
      <xdr:row>5</xdr:row>
      <xdr:rowOff>19050</xdr:rowOff>
    </xdr:from>
    <xdr:to>
      <xdr:col>2</xdr:col>
      <xdr:colOff>3308571</xdr:colOff>
      <xdr:row>5</xdr:row>
      <xdr:rowOff>1247775</xdr:rowOff>
    </xdr:to>
    <xdr:pic>
      <xdr:nvPicPr>
        <xdr:cNvPr id="21" name="Grafik 20">
          <a:extLst>
            <a:ext uri="{FF2B5EF4-FFF2-40B4-BE49-F238E27FC236}">
              <a16:creationId xmlns:a16="http://schemas.microsoft.com/office/drawing/2014/main" id="{BDC2B1AD-896F-35B9-5EBF-2045FF7846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848600" y="1009650"/>
          <a:ext cx="2689446" cy="1228725"/>
        </a:xfrm>
        <a:prstGeom prst="rect">
          <a:avLst/>
        </a:prstGeom>
      </xdr:spPr>
    </xdr:pic>
    <xdr:clientData/>
  </xdr:twoCellAnchor>
  <xdr:twoCellAnchor editAs="oneCell">
    <xdr:from>
      <xdr:col>0</xdr:col>
      <xdr:colOff>295275</xdr:colOff>
      <xdr:row>6</xdr:row>
      <xdr:rowOff>85724</xdr:rowOff>
    </xdr:from>
    <xdr:to>
      <xdr:col>0</xdr:col>
      <xdr:colOff>2076451</xdr:colOff>
      <xdr:row>7</xdr:row>
      <xdr:rowOff>171449</xdr:rowOff>
    </xdr:to>
    <xdr:pic>
      <xdr:nvPicPr>
        <xdr:cNvPr id="26" name="Grafik 25">
          <a:extLst>
            <a:ext uri="{FF2B5EF4-FFF2-40B4-BE49-F238E27FC236}">
              <a16:creationId xmlns:a16="http://schemas.microsoft.com/office/drawing/2014/main" id="{FB7C58E2-C580-45BF-B060-FB8A22E5BB8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46061" t="25788" r="6871" b="51067"/>
        <a:stretch/>
      </xdr:blipFill>
      <xdr:spPr>
        <a:xfrm>
          <a:off x="295275" y="2962274"/>
          <a:ext cx="1781176" cy="333375"/>
        </a:xfrm>
        <a:prstGeom prst="rect">
          <a:avLst/>
        </a:prstGeom>
      </xdr:spPr>
    </xdr:pic>
    <xdr:clientData/>
  </xdr:twoCellAnchor>
  <xdr:twoCellAnchor editAs="oneCell">
    <xdr:from>
      <xdr:col>1</xdr:col>
      <xdr:colOff>1285875</xdr:colOff>
      <xdr:row>7</xdr:row>
      <xdr:rowOff>0</xdr:rowOff>
    </xdr:from>
    <xdr:to>
      <xdr:col>1</xdr:col>
      <xdr:colOff>2118302</xdr:colOff>
      <xdr:row>7</xdr:row>
      <xdr:rowOff>533400</xdr:rowOff>
    </xdr:to>
    <xdr:pic>
      <xdr:nvPicPr>
        <xdr:cNvPr id="27" name="Grafik 26">
          <a:extLst>
            <a:ext uri="{FF2B5EF4-FFF2-40B4-BE49-F238E27FC236}">
              <a16:creationId xmlns:a16="http://schemas.microsoft.com/office/drawing/2014/main" id="{F986BE31-ED5A-EFA1-5C49-9647C36995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638550" y="3124200"/>
          <a:ext cx="832427" cy="533400"/>
        </a:xfrm>
        <a:prstGeom prst="rect">
          <a:avLst/>
        </a:prstGeom>
      </xdr:spPr>
    </xdr:pic>
    <xdr:clientData/>
  </xdr:twoCellAnchor>
  <xdr:twoCellAnchor>
    <xdr:from>
      <xdr:col>0</xdr:col>
      <xdr:colOff>2051540</xdr:colOff>
      <xdr:row>6</xdr:row>
      <xdr:rowOff>238125</xdr:rowOff>
    </xdr:from>
    <xdr:to>
      <xdr:col>1</xdr:col>
      <xdr:colOff>114300</xdr:colOff>
      <xdr:row>7</xdr:row>
      <xdr:rowOff>9526</xdr:rowOff>
    </xdr:to>
    <xdr:cxnSp macro="">
      <xdr:nvCxnSpPr>
        <xdr:cNvPr id="30" name="Gerade Verbindung mit Pfeil 29">
          <a:extLst>
            <a:ext uri="{FF2B5EF4-FFF2-40B4-BE49-F238E27FC236}">
              <a16:creationId xmlns:a16="http://schemas.microsoft.com/office/drawing/2014/main" id="{27F41EE0-C143-83BE-40B4-F6A6BC6D69A6}"/>
            </a:ext>
          </a:extLst>
        </xdr:cNvPr>
        <xdr:cNvCxnSpPr/>
      </xdr:nvCxnSpPr>
      <xdr:spPr>
        <a:xfrm flipV="1">
          <a:off x="2051540" y="3114675"/>
          <a:ext cx="415435" cy="1905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4267200</xdr:colOff>
      <xdr:row>5</xdr:row>
      <xdr:rowOff>476250</xdr:rowOff>
    </xdr:from>
    <xdr:to>
      <xdr:col>2</xdr:col>
      <xdr:colOff>619125</xdr:colOff>
      <xdr:row>5</xdr:row>
      <xdr:rowOff>633413</xdr:rowOff>
    </xdr:to>
    <xdr:cxnSp macro="">
      <xdr:nvCxnSpPr>
        <xdr:cNvPr id="31" name="Gerade Verbindung mit Pfeil 30">
          <a:extLst>
            <a:ext uri="{FF2B5EF4-FFF2-40B4-BE49-F238E27FC236}">
              <a16:creationId xmlns:a16="http://schemas.microsoft.com/office/drawing/2014/main" id="{3E04B7CD-4594-26AD-D9D3-730BE7E4C849}"/>
            </a:ext>
          </a:extLst>
        </xdr:cNvPr>
        <xdr:cNvCxnSpPr>
          <a:endCxn id="21" idx="1"/>
        </xdr:cNvCxnSpPr>
      </xdr:nvCxnSpPr>
      <xdr:spPr>
        <a:xfrm>
          <a:off x="6619875" y="1466850"/>
          <a:ext cx="1228725" cy="157163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257175</xdr:colOff>
      <xdr:row>8</xdr:row>
      <xdr:rowOff>66675</xdr:rowOff>
    </xdr:from>
    <xdr:to>
      <xdr:col>0</xdr:col>
      <xdr:colOff>2000250</xdr:colOff>
      <xdr:row>9</xdr:row>
      <xdr:rowOff>152400</xdr:rowOff>
    </xdr:to>
    <xdr:pic>
      <xdr:nvPicPr>
        <xdr:cNvPr id="33" name="Grafik 32">
          <a:extLst>
            <a:ext uri="{FF2B5EF4-FFF2-40B4-BE49-F238E27FC236}">
              <a16:creationId xmlns:a16="http://schemas.microsoft.com/office/drawing/2014/main" id="{99EE2AF0-7B00-4184-8056-7B8DB863643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46312" t="-660" r="7626" b="77516"/>
        <a:stretch/>
      </xdr:blipFill>
      <xdr:spPr>
        <a:xfrm>
          <a:off x="257175" y="3790950"/>
          <a:ext cx="1743075" cy="333375"/>
        </a:xfrm>
        <a:prstGeom prst="rect">
          <a:avLst/>
        </a:prstGeom>
      </xdr:spPr>
    </xdr:pic>
    <xdr:clientData/>
  </xdr:twoCellAnchor>
  <xdr:twoCellAnchor>
    <xdr:from>
      <xdr:col>0</xdr:col>
      <xdr:colOff>2051540</xdr:colOff>
      <xdr:row>8</xdr:row>
      <xdr:rowOff>219075</xdr:rowOff>
    </xdr:from>
    <xdr:to>
      <xdr:col>1</xdr:col>
      <xdr:colOff>114300</xdr:colOff>
      <xdr:row>8</xdr:row>
      <xdr:rowOff>238126</xdr:rowOff>
    </xdr:to>
    <xdr:cxnSp macro="">
      <xdr:nvCxnSpPr>
        <xdr:cNvPr id="35" name="Gerade Verbindung mit Pfeil 34">
          <a:extLst>
            <a:ext uri="{FF2B5EF4-FFF2-40B4-BE49-F238E27FC236}">
              <a16:creationId xmlns:a16="http://schemas.microsoft.com/office/drawing/2014/main" id="{892EB4D3-986E-47D1-B070-FFB66CC64F6C}"/>
            </a:ext>
          </a:extLst>
        </xdr:cNvPr>
        <xdr:cNvCxnSpPr/>
      </xdr:nvCxnSpPr>
      <xdr:spPr>
        <a:xfrm flipV="1">
          <a:off x="2051540" y="714375"/>
          <a:ext cx="415435" cy="1905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2051540</xdr:colOff>
      <xdr:row>8</xdr:row>
      <xdr:rowOff>219075</xdr:rowOff>
    </xdr:from>
    <xdr:to>
      <xdr:col>1</xdr:col>
      <xdr:colOff>114300</xdr:colOff>
      <xdr:row>8</xdr:row>
      <xdr:rowOff>238126</xdr:rowOff>
    </xdr:to>
    <xdr:cxnSp macro="">
      <xdr:nvCxnSpPr>
        <xdr:cNvPr id="36" name="Gerade Verbindung mit Pfeil 35">
          <a:extLst>
            <a:ext uri="{FF2B5EF4-FFF2-40B4-BE49-F238E27FC236}">
              <a16:creationId xmlns:a16="http://schemas.microsoft.com/office/drawing/2014/main" id="{8F94C7D2-4605-477C-A0C3-86F025E7F332}"/>
            </a:ext>
          </a:extLst>
        </xdr:cNvPr>
        <xdr:cNvCxnSpPr/>
      </xdr:nvCxnSpPr>
      <xdr:spPr>
        <a:xfrm flipV="1">
          <a:off x="2051540" y="714375"/>
          <a:ext cx="415435" cy="1905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2051540</xdr:colOff>
      <xdr:row>10</xdr:row>
      <xdr:rowOff>219075</xdr:rowOff>
    </xdr:from>
    <xdr:to>
      <xdr:col>1</xdr:col>
      <xdr:colOff>114300</xdr:colOff>
      <xdr:row>10</xdr:row>
      <xdr:rowOff>238126</xdr:rowOff>
    </xdr:to>
    <xdr:cxnSp macro="">
      <xdr:nvCxnSpPr>
        <xdr:cNvPr id="37" name="Gerade Verbindung mit Pfeil 36">
          <a:extLst>
            <a:ext uri="{FF2B5EF4-FFF2-40B4-BE49-F238E27FC236}">
              <a16:creationId xmlns:a16="http://schemas.microsoft.com/office/drawing/2014/main" id="{BF8AB360-0343-4692-BEE4-7100A73638C8}"/>
            </a:ext>
          </a:extLst>
        </xdr:cNvPr>
        <xdr:cNvCxnSpPr/>
      </xdr:nvCxnSpPr>
      <xdr:spPr>
        <a:xfrm flipV="1">
          <a:off x="2051540" y="3943350"/>
          <a:ext cx="415435" cy="1905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2051540</xdr:colOff>
      <xdr:row>10</xdr:row>
      <xdr:rowOff>219075</xdr:rowOff>
    </xdr:from>
    <xdr:to>
      <xdr:col>1</xdr:col>
      <xdr:colOff>114300</xdr:colOff>
      <xdr:row>10</xdr:row>
      <xdr:rowOff>238126</xdr:rowOff>
    </xdr:to>
    <xdr:cxnSp macro="">
      <xdr:nvCxnSpPr>
        <xdr:cNvPr id="38" name="Gerade Verbindung mit Pfeil 37">
          <a:extLst>
            <a:ext uri="{FF2B5EF4-FFF2-40B4-BE49-F238E27FC236}">
              <a16:creationId xmlns:a16="http://schemas.microsoft.com/office/drawing/2014/main" id="{59AC03F0-5E47-4710-9BFF-7720CCBC03AB}"/>
            </a:ext>
          </a:extLst>
        </xdr:cNvPr>
        <xdr:cNvCxnSpPr/>
      </xdr:nvCxnSpPr>
      <xdr:spPr>
        <a:xfrm flipV="1">
          <a:off x="2051540" y="3943350"/>
          <a:ext cx="415435" cy="1905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771525</xdr:colOff>
      <xdr:row>12</xdr:row>
      <xdr:rowOff>76200</xdr:rowOff>
    </xdr:from>
    <xdr:to>
      <xdr:col>0</xdr:col>
      <xdr:colOff>1990895</xdr:colOff>
      <xdr:row>12</xdr:row>
      <xdr:rowOff>1286044</xdr:rowOff>
    </xdr:to>
    <xdr:pic>
      <xdr:nvPicPr>
        <xdr:cNvPr id="39" name="Grafik 38">
          <a:extLst>
            <a:ext uri="{FF2B5EF4-FFF2-40B4-BE49-F238E27FC236}">
              <a16:creationId xmlns:a16="http://schemas.microsoft.com/office/drawing/2014/main" id="{EDCCCAA9-8022-E6F7-3124-D2335B5BEC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71525" y="4886325"/>
          <a:ext cx="1219370" cy="1209844"/>
        </a:xfrm>
        <a:prstGeom prst="rect">
          <a:avLst/>
        </a:prstGeom>
      </xdr:spPr>
    </xdr:pic>
    <xdr:clientData/>
  </xdr:twoCellAnchor>
  <xdr:twoCellAnchor>
    <xdr:from>
      <xdr:col>0</xdr:col>
      <xdr:colOff>2051540</xdr:colOff>
      <xdr:row>12</xdr:row>
      <xdr:rowOff>638175</xdr:rowOff>
    </xdr:from>
    <xdr:to>
      <xdr:col>1</xdr:col>
      <xdr:colOff>114300</xdr:colOff>
      <xdr:row>12</xdr:row>
      <xdr:rowOff>657226</xdr:rowOff>
    </xdr:to>
    <xdr:cxnSp macro="">
      <xdr:nvCxnSpPr>
        <xdr:cNvPr id="40" name="Gerade Verbindung mit Pfeil 39">
          <a:extLst>
            <a:ext uri="{FF2B5EF4-FFF2-40B4-BE49-F238E27FC236}">
              <a16:creationId xmlns:a16="http://schemas.microsoft.com/office/drawing/2014/main" id="{536002F1-A733-B4F1-0CD7-66B03D187F34}"/>
            </a:ext>
          </a:extLst>
        </xdr:cNvPr>
        <xdr:cNvCxnSpPr/>
      </xdr:nvCxnSpPr>
      <xdr:spPr>
        <a:xfrm flipV="1">
          <a:off x="2051540" y="5448300"/>
          <a:ext cx="415435" cy="1905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333375</xdr:colOff>
      <xdr:row>14</xdr:row>
      <xdr:rowOff>57151</xdr:rowOff>
    </xdr:from>
    <xdr:to>
      <xdr:col>0</xdr:col>
      <xdr:colOff>2038588</xdr:colOff>
      <xdr:row>14</xdr:row>
      <xdr:rowOff>400051</xdr:rowOff>
    </xdr:to>
    <xdr:pic>
      <xdr:nvPicPr>
        <xdr:cNvPr id="43" name="Grafik 42">
          <a:extLst>
            <a:ext uri="{FF2B5EF4-FFF2-40B4-BE49-F238E27FC236}">
              <a16:creationId xmlns:a16="http://schemas.microsoft.com/office/drawing/2014/main" id="{047052A0-0A91-47A7-ECFC-D2114599034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b="53253"/>
        <a:stretch/>
      </xdr:blipFill>
      <xdr:spPr>
        <a:xfrm>
          <a:off x="333375" y="6762751"/>
          <a:ext cx="1705213" cy="342900"/>
        </a:xfrm>
        <a:prstGeom prst="rect">
          <a:avLst/>
        </a:prstGeom>
      </xdr:spPr>
    </xdr:pic>
    <xdr:clientData/>
  </xdr:twoCellAnchor>
  <xdr:twoCellAnchor editAs="oneCell">
    <xdr:from>
      <xdr:col>0</xdr:col>
      <xdr:colOff>333375</xdr:colOff>
      <xdr:row>15</xdr:row>
      <xdr:rowOff>85724</xdr:rowOff>
    </xdr:from>
    <xdr:to>
      <xdr:col>0</xdr:col>
      <xdr:colOff>2038588</xdr:colOff>
      <xdr:row>15</xdr:row>
      <xdr:rowOff>438251</xdr:rowOff>
    </xdr:to>
    <xdr:pic>
      <xdr:nvPicPr>
        <xdr:cNvPr id="44" name="Grafik 43">
          <a:extLst>
            <a:ext uri="{FF2B5EF4-FFF2-40B4-BE49-F238E27FC236}">
              <a16:creationId xmlns:a16="http://schemas.microsoft.com/office/drawing/2014/main" id="{492B3638-32C5-E41C-737B-B0994E28BF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t="51941"/>
        <a:stretch/>
      </xdr:blipFill>
      <xdr:spPr>
        <a:xfrm>
          <a:off x="333375" y="7267574"/>
          <a:ext cx="1705213" cy="352527"/>
        </a:xfrm>
        <a:prstGeom prst="rect">
          <a:avLst/>
        </a:prstGeom>
      </xdr:spPr>
    </xdr:pic>
    <xdr:clientData/>
  </xdr:twoCellAnchor>
  <xdr:twoCellAnchor>
    <xdr:from>
      <xdr:col>0</xdr:col>
      <xdr:colOff>2051540</xdr:colOff>
      <xdr:row>14</xdr:row>
      <xdr:rowOff>180975</xdr:rowOff>
    </xdr:from>
    <xdr:to>
      <xdr:col>1</xdr:col>
      <xdr:colOff>114300</xdr:colOff>
      <xdr:row>14</xdr:row>
      <xdr:rowOff>200026</xdr:rowOff>
    </xdr:to>
    <xdr:cxnSp macro="">
      <xdr:nvCxnSpPr>
        <xdr:cNvPr id="45" name="Gerade Verbindung mit Pfeil 44">
          <a:extLst>
            <a:ext uri="{FF2B5EF4-FFF2-40B4-BE49-F238E27FC236}">
              <a16:creationId xmlns:a16="http://schemas.microsoft.com/office/drawing/2014/main" id="{68152837-0BC0-7F20-300F-56F1069A53A1}"/>
            </a:ext>
          </a:extLst>
        </xdr:cNvPr>
        <xdr:cNvCxnSpPr/>
      </xdr:nvCxnSpPr>
      <xdr:spPr>
        <a:xfrm flipV="1">
          <a:off x="2051540" y="6886575"/>
          <a:ext cx="415435" cy="1905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1428750</xdr:colOff>
      <xdr:row>16</xdr:row>
      <xdr:rowOff>95250</xdr:rowOff>
    </xdr:from>
    <xdr:to>
      <xdr:col>0</xdr:col>
      <xdr:colOff>1971751</xdr:colOff>
      <xdr:row>16</xdr:row>
      <xdr:rowOff>619198</xdr:rowOff>
    </xdr:to>
    <xdr:pic>
      <xdr:nvPicPr>
        <xdr:cNvPr id="46" name="Grafik 45">
          <a:extLst>
            <a:ext uri="{FF2B5EF4-FFF2-40B4-BE49-F238E27FC236}">
              <a16:creationId xmlns:a16="http://schemas.microsoft.com/office/drawing/2014/main" id="{631787F6-BDD5-908C-27D1-6FDEF05E2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28750" y="7829550"/>
          <a:ext cx="543001" cy="523948"/>
        </a:xfrm>
        <a:prstGeom prst="rect">
          <a:avLst/>
        </a:prstGeom>
      </xdr:spPr>
    </xdr:pic>
    <xdr:clientData/>
  </xdr:twoCellAnchor>
  <xdr:twoCellAnchor>
    <xdr:from>
      <xdr:col>0</xdr:col>
      <xdr:colOff>2051540</xdr:colOff>
      <xdr:row>15</xdr:row>
      <xdr:rowOff>180975</xdr:rowOff>
    </xdr:from>
    <xdr:to>
      <xdr:col>1</xdr:col>
      <xdr:colOff>114300</xdr:colOff>
      <xdr:row>15</xdr:row>
      <xdr:rowOff>200026</xdr:rowOff>
    </xdr:to>
    <xdr:cxnSp macro="">
      <xdr:nvCxnSpPr>
        <xdr:cNvPr id="47" name="Gerade Verbindung mit Pfeil 46">
          <a:extLst>
            <a:ext uri="{FF2B5EF4-FFF2-40B4-BE49-F238E27FC236}">
              <a16:creationId xmlns:a16="http://schemas.microsoft.com/office/drawing/2014/main" id="{03D219CE-D84E-4789-8EDA-A98924C6DA84}"/>
            </a:ext>
          </a:extLst>
        </xdr:cNvPr>
        <xdr:cNvCxnSpPr/>
      </xdr:nvCxnSpPr>
      <xdr:spPr>
        <a:xfrm flipV="1">
          <a:off x="2051540" y="6886575"/>
          <a:ext cx="415435" cy="1905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104775</xdr:colOff>
      <xdr:row>8</xdr:row>
      <xdr:rowOff>247116</xdr:rowOff>
    </xdr:from>
    <xdr:to>
      <xdr:col>2</xdr:col>
      <xdr:colOff>4494478</xdr:colOff>
      <xdr:row>9</xdr:row>
      <xdr:rowOff>371475</xdr:rowOff>
    </xdr:to>
    <xdr:pic>
      <xdr:nvPicPr>
        <xdr:cNvPr id="48" name="Grafik 47">
          <a:extLst>
            <a:ext uri="{FF2B5EF4-FFF2-40B4-BE49-F238E27FC236}">
              <a16:creationId xmlns:a16="http://schemas.microsoft.com/office/drawing/2014/main" id="{4025AE40-809D-1F31-B10B-B69DD2DF3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334250" y="4152366"/>
          <a:ext cx="4389703" cy="372009"/>
        </a:xfrm>
        <a:prstGeom prst="rect">
          <a:avLst/>
        </a:prstGeom>
      </xdr:spPr>
    </xdr:pic>
    <xdr:clientData/>
  </xdr:twoCellAnchor>
  <xdr:twoCellAnchor>
    <xdr:from>
      <xdr:col>0</xdr:col>
      <xdr:colOff>2051540</xdr:colOff>
      <xdr:row>16</xdr:row>
      <xdr:rowOff>180975</xdr:rowOff>
    </xdr:from>
    <xdr:to>
      <xdr:col>1</xdr:col>
      <xdr:colOff>114300</xdr:colOff>
      <xdr:row>16</xdr:row>
      <xdr:rowOff>200026</xdr:rowOff>
    </xdr:to>
    <xdr:cxnSp macro="">
      <xdr:nvCxnSpPr>
        <xdr:cNvPr id="49" name="Gerade Verbindung mit Pfeil 48">
          <a:extLst>
            <a:ext uri="{FF2B5EF4-FFF2-40B4-BE49-F238E27FC236}">
              <a16:creationId xmlns:a16="http://schemas.microsoft.com/office/drawing/2014/main" id="{96B84968-EC98-4A27-93A7-1A9F5C2C4C54}"/>
            </a:ext>
          </a:extLst>
        </xdr:cNvPr>
        <xdr:cNvCxnSpPr/>
      </xdr:nvCxnSpPr>
      <xdr:spPr>
        <a:xfrm flipV="1">
          <a:off x="2051540" y="7486650"/>
          <a:ext cx="415435" cy="1905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571500</xdr:colOff>
      <xdr:row>16</xdr:row>
      <xdr:rowOff>1019175</xdr:rowOff>
    </xdr:from>
    <xdr:to>
      <xdr:col>1</xdr:col>
      <xdr:colOff>3333750</xdr:colOff>
      <xdr:row>16</xdr:row>
      <xdr:rowOff>1334861</xdr:rowOff>
    </xdr:to>
    <xdr:pic>
      <xdr:nvPicPr>
        <xdr:cNvPr id="50" name="Grafik 49">
          <a:extLst>
            <a:ext uri="{FF2B5EF4-FFF2-40B4-BE49-F238E27FC236}">
              <a16:creationId xmlns:a16="http://schemas.microsoft.com/office/drawing/2014/main" id="{4BBDC779-2FE9-8831-ADC8-89AC2AD7E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924175" y="8877300"/>
          <a:ext cx="2762250" cy="315686"/>
        </a:xfrm>
        <a:prstGeom prst="rect">
          <a:avLst/>
        </a:prstGeom>
      </xdr:spPr>
    </xdr:pic>
    <xdr:clientData/>
  </xdr:twoCellAnchor>
  <xdr:twoCellAnchor>
    <xdr:from>
      <xdr:col>1</xdr:col>
      <xdr:colOff>508490</xdr:colOff>
      <xdr:row>16</xdr:row>
      <xdr:rowOff>762001</xdr:rowOff>
    </xdr:from>
    <xdr:to>
      <xdr:col>1</xdr:col>
      <xdr:colOff>952500</xdr:colOff>
      <xdr:row>16</xdr:row>
      <xdr:rowOff>1091712</xdr:rowOff>
    </xdr:to>
    <xdr:cxnSp macro="">
      <xdr:nvCxnSpPr>
        <xdr:cNvPr id="51" name="Gerade Verbindung mit Pfeil 50">
          <a:extLst>
            <a:ext uri="{FF2B5EF4-FFF2-40B4-BE49-F238E27FC236}">
              <a16:creationId xmlns:a16="http://schemas.microsoft.com/office/drawing/2014/main" id="{AF4723CE-09B6-69B4-9652-C5CE9A561652}"/>
            </a:ext>
          </a:extLst>
        </xdr:cNvPr>
        <xdr:cNvCxnSpPr/>
      </xdr:nvCxnSpPr>
      <xdr:spPr>
        <a:xfrm>
          <a:off x="2860432" y="8638443"/>
          <a:ext cx="444010" cy="32971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1245577</xdr:colOff>
      <xdr:row>16</xdr:row>
      <xdr:rowOff>776654</xdr:rowOff>
    </xdr:from>
    <xdr:to>
      <xdr:col>1</xdr:col>
      <xdr:colOff>1414096</xdr:colOff>
      <xdr:row>16</xdr:row>
      <xdr:rowOff>1091712</xdr:rowOff>
    </xdr:to>
    <xdr:cxnSp macro="">
      <xdr:nvCxnSpPr>
        <xdr:cNvPr id="59" name="Gerade Verbindung mit Pfeil 58">
          <a:extLst>
            <a:ext uri="{FF2B5EF4-FFF2-40B4-BE49-F238E27FC236}">
              <a16:creationId xmlns:a16="http://schemas.microsoft.com/office/drawing/2014/main" id="{75550F49-F707-CD90-D95A-8732723896A0}"/>
            </a:ext>
          </a:extLst>
        </xdr:cNvPr>
        <xdr:cNvCxnSpPr/>
      </xdr:nvCxnSpPr>
      <xdr:spPr>
        <a:xfrm>
          <a:off x="3597519" y="8653096"/>
          <a:ext cx="168519" cy="315058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1912327</xdr:colOff>
      <xdr:row>16</xdr:row>
      <xdr:rowOff>776654</xdr:rowOff>
    </xdr:from>
    <xdr:to>
      <xdr:col>1</xdr:col>
      <xdr:colOff>2066193</xdr:colOff>
      <xdr:row>16</xdr:row>
      <xdr:rowOff>1091712</xdr:rowOff>
    </xdr:to>
    <xdr:cxnSp macro="">
      <xdr:nvCxnSpPr>
        <xdr:cNvPr id="62" name="Gerade Verbindung mit Pfeil 61">
          <a:extLst>
            <a:ext uri="{FF2B5EF4-FFF2-40B4-BE49-F238E27FC236}">
              <a16:creationId xmlns:a16="http://schemas.microsoft.com/office/drawing/2014/main" id="{628EA353-65D3-3257-0D11-0964D984ADE9}"/>
            </a:ext>
          </a:extLst>
        </xdr:cNvPr>
        <xdr:cNvCxnSpPr/>
      </xdr:nvCxnSpPr>
      <xdr:spPr>
        <a:xfrm flipH="1">
          <a:off x="4264269" y="8653096"/>
          <a:ext cx="153866" cy="315058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2601058</xdr:colOff>
      <xdr:row>16</xdr:row>
      <xdr:rowOff>762000</xdr:rowOff>
    </xdr:from>
    <xdr:to>
      <xdr:col>1</xdr:col>
      <xdr:colOff>2806212</xdr:colOff>
      <xdr:row>16</xdr:row>
      <xdr:rowOff>1091712</xdr:rowOff>
    </xdr:to>
    <xdr:cxnSp macro="">
      <xdr:nvCxnSpPr>
        <xdr:cNvPr id="64" name="Gerade Verbindung mit Pfeil 63">
          <a:extLst>
            <a:ext uri="{FF2B5EF4-FFF2-40B4-BE49-F238E27FC236}">
              <a16:creationId xmlns:a16="http://schemas.microsoft.com/office/drawing/2014/main" id="{D754C357-4074-5581-7B8D-011CEF78CBFD}"/>
            </a:ext>
          </a:extLst>
        </xdr:cNvPr>
        <xdr:cNvCxnSpPr/>
      </xdr:nvCxnSpPr>
      <xdr:spPr>
        <a:xfrm flipH="1">
          <a:off x="4953000" y="8638442"/>
          <a:ext cx="205154" cy="32971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3853E50-0E2C-40D0-A219-2DAF2F273D05}" name="Tabelle1" displayName="Tabelle1" ref="A7:L50" totalsRowShown="0" headerRowDxfId="29" dataDxfId="0" tableBorderDxfId="28">
  <autoFilter ref="A7:L50" xr:uid="{73853E50-0E2C-40D0-A219-2DAF2F273D05}"/>
  <tableColumns count="12">
    <tableColumn id="1" xr3:uid="{E68FF675-D86F-4DD7-BBBE-AAC612E06323}" name="Pos. " dataDxfId="12" totalsRowDxfId="27"/>
    <tableColumn id="2" xr3:uid="{8C55106F-0A43-424B-BAAD-90E20F4C40F3}" name="Entry _x000a_Date" dataDxfId="11" totalsRowDxfId="26"/>
    <tableColumn id="3" xr3:uid="{EEB17BA3-FF52-4B9B-8806-8C54DF9424B4}" name="Process" dataDxfId="10" totalsRowDxfId="25"/>
    <tableColumn id="4" xr3:uid="{1720B427-6947-457C-B1A1-6DAA20342A19}" name="Task" dataDxfId="9" totalsRowDxfId="24"/>
    <tableColumn id="9" xr3:uid="{16AFB085-059E-43D3-A0B3-5C7DCDF32F21}" name="Description" dataDxfId="8" totalsRowDxfId="23"/>
    <tableColumn id="10" xr3:uid="{2715E815-B116-4677-AC0F-10F3F2BA1CA8}" name="internal / _x000a_extenal" dataDxfId="7"/>
    <tableColumn id="11" xr3:uid="{A988BB32-DCC6-4BFD-8410-70E8159207F6}" name="Responsible" dataDxfId="6"/>
    <tableColumn id="5" xr3:uid="{026EDB8B-E32D-448B-A95E-9D30B5B4CB48}" name="Due" dataDxfId="5" totalsRowDxfId="22"/>
    <tableColumn id="6" xr3:uid="{8268ACCB-4F08-43F2-85B1-BE370509B477}" name="Status" dataDxfId="4" totalsRowDxfId="21"/>
    <tableColumn id="7" xr3:uid="{8C4E2B6E-C558-4445-BEF3-841B2DC42A08}" name="Comments/Questions" dataDxfId="3" totalsRowDxfId="20"/>
    <tableColumn id="8" xr3:uid="{D0DD3AF3-E1DC-48C0-B1C1-808184EF404A}" name="cw" dataDxfId="2" totalsRowDxfId="19"/>
    <tableColumn id="12" xr3:uid="{CC9B2EAA-398A-4BE1-AB71-A9E7A99FD8F1}" name="mark" dataDxfId="1"/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EC7558-CE77-44D0-8E69-B855933061B0}" name="Tabelle3" displayName="Tabelle3" ref="A1:C20" totalsRowShown="0" headerRowDxfId="17" dataDxfId="16">
  <autoFilter ref="A1:C20" xr:uid="{98EC7558-CE77-44D0-8E69-B855933061B0}"/>
  <tableColumns count="3">
    <tableColumn id="1" xr3:uid="{91CD4F37-A6DE-4061-B22E-720C1345077A}" name="Name_x000a_First and Last Name" dataDxfId="15"/>
    <tableColumn id="3" xr3:uid="{32B8FF1C-AD50-44D7-9CCD-471BA76242B8}" name="Department" dataDxfId="14"/>
    <tableColumn id="2" xr3:uid="{AAD77943-C2BE-44FF-9205-C0ACCAE3C552}" name="Vacation_x000a_from - till" dataDxfId="13"/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b_LOP_NEW">
    <pageSetUpPr fitToPage="1"/>
  </sheetPr>
  <dimension ref="A1:L50"/>
  <sheetViews>
    <sheetView tabSelected="1" topLeftCell="E1" zoomScale="85" zoomScaleNormal="85" workbookViewId="0">
      <selection activeCell="J16" sqref="J16"/>
    </sheetView>
  </sheetViews>
  <sheetFormatPr defaultColWidth="9.33203125" defaultRowHeight="20.100000000000001" customHeight="1" x14ac:dyDescent="0.3"/>
  <cols>
    <col min="1" max="1" width="10.6640625" style="34" customWidth="1"/>
    <col min="2" max="2" width="14.44140625" style="51" customWidth="1"/>
    <col min="3" max="3" width="12.5546875" style="62" customWidth="1"/>
    <col min="4" max="4" width="22" style="47" customWidth="1"/>
    <col min="5" max="5" width="103.33203125" style="48" customWidth="1"/>
    <col min="6" max="6" width="13.33203125" style="33" customWidth="1"/>
    <col min="7" max="7" width="16.6640625" style="41" customWidth="1"/>
    <col min="8" max="8" width="13.44140625" style="49" customWidth="1"/>
    <col min="9" max="9" width="13.6640625" style="34" customWidth="1"/>
    <col min="10" max="10" width="41.109375" style="41" customWidth="1"/>
    <col min="11" max="11" width="25.6640625" style="33" customWidth="1"/>
    <col min="12" max="12" width="25.6640625" style="54" customWidth="1"/>
    <col min="13" max="17" width="9.33203125" style="46"/>
    <col min="18" max="18" width="12.44140625" style="46" customWidth="1"/>
    <col min="19" max="16384" width="9.33203125" style="46"/>
  </cols>
  <sheetData>
    <row r="1" spans="1:12" s="43" customFormat="1" ht="25.2" customHeight="1" thickBot="1" x14ac:dyDescent="0.35">
      <c r="B1" s="71"/>
      <c r="C1" s="71"/>
      <c r="D1" s="35"/>
      <c r="E1" s="35"/>
      <c r="F1" s="55"/>
      <c r="G1" s="61"/>
      <c r="H1" s="33"/>
      <c r="I1" s="36" t="s">
        <v>11</v>
      </c>
      <c r="J1" s="22">
        <f>'Calculation Sheet'!B3</f>
        <v>0</v>
      </c>
      <c r="K1" s="111" t="s">
        <v>55</v>
      </c>
      <c r="L1" s="112"/>
    </row>
    <row r="2" spans="1:12" s="43" customFormat="1" ht="25.2" customHeight="1" thickBot="1" x14ac:dyDescent="0.35">
      <c r="A2" s="116"/>
      <c r="B2" s="116"/>
      <c r="C2" s="116"/>
      <c r="D2" s="35"/>
      <c r="E2" s="35"/>
      <c r="F2" s="55"/>
      <c r="G2" s="61"/>
      <c r="H2" s="33"/>
      <c r="I2" s="37" t="s">
        <v>12</v>
      </c>
      <c r="J2" s="23">
        <f>'Calculation Sheet'!B4</f>
        <v>43</v>
      </c>
      <c r="K2" s="113"/>
      <c r="L2" s="114"/>
    </row>
    <row r="3" spans="1:12" s="43" customFormat="1" ht="25.2" customHeight="1" thickBot="1" x14ac:dyDescent="0.35">
      <c r="A3" s="116"/>
      <c r="B3" s="116"/>
      <c r="C3" s="116"/>
      <c r="D3" s="50">
        <f ca="1">TODAY()</f>
        <v>46296</v>
      </c>
      <c r="E3" s="35"/>
      <c r="F3" s="55"/>
      <c r="G3" s="61"/>
      <c r="H3" s="33"/>
      <c r="I3" s="72" t="s">
        <v>13</v>
      </c>
      <c r="J3" s="23">
        <f>'Calculation Sheet'!B5</f>
        <v>0</v>
      </c>
      <c r="K3" s="113"/>
      <c r="L3" s="114"/>
    </row>
    <row r="4" spans="1:12" s="43" customFormat="1" ht="25.2" customHeight="1" x14ac:dyDescent="0.3">
      <c r="A4" s="39"/>
      <c r="B4" s="110"/>
      <c r="C4" s="59"/>
      <c r="D4" s="40" t="str">
        <f ca="1">WEEKNUM(TODAY(),2)-1&amp;"/"&amp;RIGHT(TEXT(D3,"JJ"),2)</f>
        <v>39/JJ</v>
      </c>
      <c r="E4" s="44"/>
      <c r="F4" s="55"/>
      <c r="G4" s="61"/>
      <c r="H4" s="33"/>
      <c r="I4" s="38" t="s">
        <v>14</v>
      </c>
      <c r="J4" s="24">
        <f>'Calculation Sheet'!B6</f>
        <v>0</v>
      </c>
      <c r="K4" s="115"/>
      <c r="L4" s="114"/>
    </row>
    <row r="5" spans="1:12" s="43" customFormat="1" ht="6" customHeight="1" x14ac:dyDescent="0.3">
      <c r="A5" s="29"/>
      <c r="B5" s="1"/>
      <c r="C5" s="60"/>
      <c r="D5" s="2"/>
      <c r="E5" s="2"/>
      <c r="F5" s="1"/>
      <c r="G5" s="60"/>
      <c r="H5" s="3"/>
      <c r="I5" s="3"/>
      <c r="J5" s="42"/>
      <c r="K5" s="52"/>
      <c r="L5" s="58"/>
    </row>
    <row r="6" spans="1:12" s="43" customFormat="1" ht="3.75" customHeight="1" x14ac:dyDescent="0.3">
      <c r="A6" s="30"/>
      <c r="B6" s="31"/>
      <c r="C6" s="61"/>
      <c r="D6" s="32"/>
      <c r="E6" s="32"/>
      <c r="F6" s="31"/>
      <c r="G6" s="61"/>
      <c r="H6" s="33"/>
      <c r="I6" s="33"/>
      <c r="J6" s="33"/>
      <c r="K6" s="33"/>
      <c r="L6" s="57"/>
    </row>
    <row r="7" spans="1:12" s="45" customFormat="1" ht="35.4" customHeight="1" x14ac:dyDescent="0.3">
      <c r="A7" s="25" t="s">
        <v>1</v>
      </c>
      <c r="B7" s="26" t="s">
        <v>2</v>
      </c>
      <c r="C7" s="26" t="s">
        <v>3</v>
      </c>
      <c r="D7" s="28" t="s">
        <v>4</v>
      </c>
      <c r="E7" s="70" t="s">
        <v>5</v>
      </c>
      <c r="F7" s="26" t="s">
        <v>6</v>
      </c>
      <c r="G7" s="26" t="s">
        <v>7</v>
      </c>
      <c r="H7" s="27" t="s">
        <v>8</v>
      </c>
      <c r="I7" s="27" t="s">
        <v>9</v>
      </c>
      <c r="J7" s="27" t="s">
        <v>10</v>
      </c>
      <c r="K7" s="53" t="s">
        <v>0</v>
      </c>
      <c r="L7" s="27" t="s">
        <v>19</v>
      </c>
    </row>
    <row r="8" spans="1:12" s="56" customFormat="1" ht="28.8" x14ac:dyDescent="0.3">
      <c r="A8" s="134">
        <v>1</v>
      </c>
      <c r="B8" s="133">
        <v>46295.000011574077</v>
      </c>
      <c r="C8" s="108" t="s">
        <v>56</v>
      </c>
      <c r="D8" s="101" t="s">
        <v>57</v>
      </c>
      <c r="E8" s="102" t="s">
        <v>58</v>
      </c>
      <c r="F8" s="108" t="s">
        <v>59</v>
      </c>
      <c r="G8" s="108" t="s">
        <v>60</v>
      </c>
      <c r="H8" s="133">
        <v>46339</v>
      </c>
      <c r="I8" s="135" t="s">
        <v>12</v>
      </c>
      <c r="J8" s="100"/>
      <c r="K8" s="136" t="s">
        <v>61</v>
      </c>
      <c r="L8" s="137"/>
    </row>
    <row r="9" spans="1:12" s="56" customFormat="1" ht="28.8" x14ac:dyDescent="0.3">
      <c r="A9" s="134">
        <v>2</v>
      </c>
      <c r="B9" s="138">
        <v>46295.000011574077</v>
      </c>
      <c r="C9" s="108" t="s">
        <v>56</v>
      </c>
      <c r="D9" s="101" t="s">
        <v>62</v>
      </c>
      <c r="E9" s="102" t="s">
        <v>63</v>
      </c>
      <c r="F9" s="108" t="s">
        <v>59</v>
      </c>
      <c r="G9" s="108" t="s">
        <v>60</v>
      </c>
      <c r="H9" s="133">
        <v>46332</v>
      </c>
      <c r="I9" s="135" t="s">
        <v>12</v>
      </c>
      <c r="J9" s="100"/>
      <c r="K9" s="136" t="s">
        <v>64</v>
      </c>
      <c r="L9" s="139"/>
    </row>
    <row r="10" spans="1:12" s="56" customFormat="1" ht="14.4" x14ac:dyDescent="0.3">
      <c r="A10" s="134">
        <v>3</v>
      </c>
      <c r="B10" s="138">
        <v>46295.000011574077</v>
      </c>
      <c r="C10" s="108" t="s">
        <v>56</v>
      </c>
      <c r="D10" s="101" t="s">
        <v>65</v>
      </c>
      <c r="E10" s="102" t="s">
        <v>66</v>
      </c>
      <c r="F10" s="108" t="s">
        <v>59</v>
      </c>
      <c r="G10" s="108" t="s">
        <v>60</v>
      </c>
      <c r="H10" s="133">
        <v>46346</v>
      </c>
      <c r="I10" s="135" t="s">
        <v>12</v>
      </c>
      <c r="J10" s="100"/>
      <c r="K10" s="136" t="s">
        <v>67</v>
      </c>
      <c r="L10" s="139"/>
    </row>
    <row r="11" spans="1:12" s="56" customFormat="1" ht="28.8" x14ac:dyDescent="0.3">
      <c r="A11" s="134">
        <v>4</v>
      </c>
      <c r="B11" s="138">
        <v>46295.000011574077</v>
      </c>
      <c r="C11" s="108" t="s">
        <v>56</v>
      </c>
      <c r="D11" s="101" t="s">
        <v>68</v>
      </c>
      <c r="E11" s="102" t="s">
        <v>69</v>
      </c>
      <c r="F11" s="108" t="s">
        <v>59</v>
      </c>
      <c r="G11" s="108" t="s">
        <v>60</v>
      </c>
      <c r="H11" s="133">
        <v>46353</v>
      </c>
      <c r="I11" s="135" t="s">
        <v>12</v>
      </c>
      <c r="J11" s="100"/>
      <c r="K11" s="136" t="s">
        <v>70</v>
      </c>
      <c r="L11" s="139"/>
    </row>
    <row r="12" spans="1:12" s="56" customFormat="1" ht="28.8" x14ac:dyDescent="0.3">
      <c r="A12" s="134">
        <v>5</v>
      </c>
      <c r="B12" s="138">
        <v>46295.000011574077</v>
      </c>
      <c r="C12" s="108" t="s">
        <v>56</v>
      </c>
      <c r="D12" s="101" t="s">
        <v>71</v>
      </c>
      <c r="E12" s="102" t="s">
        <v>72</v>
      </c>
      <c r="F12" s="108" t="s">
        <v>59</v>
      </c>
      <c r="G12" s="108" t="s">
        <v>60</v>
      </c>
      <c r="H12" s="133">
        <v>46353</v>
      </c>
      <c r="I12" s="135" t="s">
        <v>12</v>
      </c>
      <c r="J12" s="100"/>
      <c r="K12" s="136" t="s">
        <v>70</v>
      </c>
      <c r="L12" s="139"/>
    </row>
    <row r="13" spans="1:12" s="56" customFormat="1" ht="28.8" x14ac:dyDescent="0.3">
      <c r="A13" s="134">
        <v>6</v>
      </c>
      <c r="B13" s="138">
        <v>46295.000011574077</v>
      </c>
      <c r="C13" s="108" t="s">
        <v>56</v>
      </c>
      <c r="D13" s="101" t="s">
        <v>73</v>
      </c>
      <c r="E13" s="102" t="s">
        <v>74</v>
      </c>
      <c r="F13" s="108" t="s">
        <v>59</v>
      </c>
      <c r="G13" s="108" t="s">
        <v>60</v>
      </c>
      <c r="H13" s="133">
        <v>46367</v>
      </c>
      <c r="I13" s="135" t="s">
        <v>12</v>
      </c>
      <c r="J13" s="100"/>
      <c r="K13" s="136" t="s">
        <v>75</v>
      </c>
      <c r="L13" s="139"/>
    </row>
    <row r="14" spans="1:12" s="56" customFormat="1" ht="28.8" x14ac:dyDescent="0.3">
      <c r="A14" s="134">
        <v>7</v>
      </c>
      <c r="B14" s="138">
        <v>46295.000011574077</v>
      </c>
      <c r="C14" s="108" t="s">
        <v>56</v>
      </c>
      <c r="D14" s="101" t="s">
        <v>76</v>
      </c>
      <c r="E14" s="102" t="s">
        <v>77</v>
      </c>
      <c r="F14" s="108" t="s">
        <v>59</v>
      </c>
      <c r="G14" s="108" t="s">
        <v>60</v>
      </c>
      <c r="H14" s="133">
        <v>46367</v>
      </c>
      <c r="I14" s="135" t="s">
        <v>12</v>
      </c>
      <c r="J14" s="100"/>
      <c r="K14" s="136" t="s">
        <v>75</v>
      </c>
      <c r="L14" s="139"/>
    </row>
    <row r="15" spans="1:12" s="56" customFormat="1" ht="28.8" x14ac:dyDescent="0.3">
      <c r="A15" s="134">
        <v>8</v>
      </c>
      <c r="B15" s="138">
        <v>46295.000011574077</v>
      </c>
      <c r="C15" s="108" t="s">
        <v>56</v>
      </c>
      <c r="D15" s="101" t="s">
        <v>78</v>
      </c>
      <c r="E15" s="102" t="s">
        <v>79</v>
      </c>
      <c r="F15" s="108" t="s">
        <v>59</v>
      </c>
      <c r="G15" s="108" t="s">
        <v>60</v>
      </c>
      <c r="H15" s="133">
        <v>46367</v>
      </c>
      <c r="I15" s="135" t="s">
        <v>12</v>
      </c>
      <c r="J15" s="100"/>
      <c r="K15" s="136" t="s">
        <v>75</v>
      </c>
      <c r="L15" s="139"/>
    </row>
    <row r="16" spans="1:12" s="56" customFormat="1" ht="43.2" x14ac:dyDescent="0.3">
      <c r="A16" s="134">
        <v>9</v>
      </c>
      <c r="B16" s="138">
        <v>46295.000011574077</v>
      </c>
      <c r="C16" s="108" t="s">
        <v>56</v>
      </c>
      <c r="D16" s="101" t="s">
        <v>80</v>
      </c>
      <c r="E16" s="102" t="s">
        <v>81</v>
      </c>
      <c r="F16" s="108" t="s">
        <v>59</v>
      </c>
      <c r="G16" s="108" t="s">
        <v>60</v>
      </c>
      <c r="H16" s="133">
        <v>46346</v>
      </c>
      <c r="I16" s="135" t="s">
        <v>12</v>
      </c>
      <c r="J16" s="100"/>
      <c r="K16" s="136" t="s">
        <v>67</v>
      </c>
      <c r="L16" s="139"/>
    </row>
    <row r="17" spans="1:12" s="56" customFormat="1" ht="28.8" x14ac:dyDescent="0.3">
      <c r="A17" s="134">
        <v>10</v>
      </c>
      <c r="B17" s="138">
        <v>46295.000011574077</v>
      </c>
      <c r="C17" s="108" t="s">
        <v>56</v>
      </c>
      <c r="D17" s="101" t="s">
        <v>82</v>
      </c>
      <c r="E17" s="102" t="s">
        <v>83</v>
      </c>
      <c r="F17" s="108" t="s">
        <v>59</v>
      </c>
      <c r="G17" s="108" t="s">
        <v>60</v>
      </c>
      <c r="H17" s="133">
        <v>46374</v>
      </c>
      <c r="I17" s="135" t="s">
        <v>12</v>
      </c>
      <c r="J17" s="100"/>
      <c r="K17" s="136" t="s">
        <v>84</v>
      </c>
      <c r="L17" s="139"/>
    </row>
    <row r="18" spans="1:12" s="56" customFormat="1" ht="28.8" x14ac:dyDescent="0.3">
      <c r="A18" s="134">
        <v>11</v>
      </c>
      <c r="B18" s="138">
        <v>46295.000011574077</v>
      </c>
      <c r="C18" s="108" t="s">
        <v>56</v>
      </c>
      <c r="D18" s="101" t="s">
        <v>85</v>
      </c>
      <c r="E18" s="102" t="s">
        <v>86</v>
      </c>
      <c r="F18" s="108" t="s">
        <v>59</v>
      </c>
      <c r="G18" s="108" t="s">
        <v>60</v>
      </c>
      <c r="H18" s="133">
        <v>46377</v>
      </c>
      <c r="I18" s="135" t="s">
        <v>12</v>
      </c>
      <c r="J18" s="100"/>
      <c r="K18" s="136" t="s">
        <v>87</v>
      </c>
      <c r="L18" s="139"/>
    </row>
    <row r="19" spans="1:12" s="56" customFormat="1" ht="14.4" x14ac:dyDescent="0.3">
      <c r="A19" s="134">
        <v>12</v>
      </c>
      <c r="B19" s="138">
        <v>46295.000011574077</v>
      </c>
      <c r="C19" s="108" t="s">
        <v>56</v>
      </c>
      <c r="D19" s="101" t="s">
        <v>88</v>
      </c>
      <c r="E19" s="102" t="s">
        <v>89</v>
      </c>
      <c r="F19" s="108" t="s">
        <v>59</v>
      </c>
      <c r="G19" s="108" t="s">
        <v>60</v>
      </c>
      <c r="H19" s="133">
        <v>46472</v>
      </c>
      <c r="I19" s="135" t="s">
        <v>12</v>
      </c>
      <c r="J19" s="100"/>
      <c r="K19" s="136" t="s">
        <v>90</v>
      </c>
      <c r="L19" s="139"/>
    </row>
    <row r="20" spans="1:12" s="56" customFormat="1" ht="28.8" x14ac:dyDescent="0.3">
      <c r="A20" s="134">
        <v>13</v>
      </c>
      <c r="B20" s="138">
        <v>46295.000011574077</v>
      </c>
      <c r="C20" s="108" t="s">
        <v>91</v>
      </c>
      <c r="D20" s="101" t="s">
        <v>92</v>
      </c>
      <c r="E20" s="102" t="s">
        <v>93</v>
      </c>
      <c r="F20" s="108" t="s">
        <v>59</v>
      </c>
      <c r="G20" s="108" t="s">
        <v>60</v>
      </c>
      <c r="H20" s="133">
        <v>46346</v>
      </c>
      <c r="I20" s="135" t="s">
        <v>12</v>
      </c>
      <c r="J20" s="100"/>
      <c r="K20" s="136" t="s">
        <v>67</v>
      </c>
      <c r="L20" s="139"/>
    </row>
    <row r="21" spans="1:12" s="56" customFormat="1" ht="28.8" x14ac:dyDescent="0.3">
      <c r="A21" s="134">
        <v>14</v>
      </c>
      <c r="B21" s="138">
        <v>46295.000011574077</v>
      </c>
      <c r="C21" s="108" t="s">
        <v>91</v>
      </c>
      <c r="D21" s="101" t="s">
        <v>94</v>
      </c>
      <c r="E21" s="102" t="s">
        <v>95</v>
      </c>
      <c r="F21" s="108" t="s">
        <v>59</v>
      </c>
      <c r="G21" s="108" t="s">
        <v>60</v>
      </c>
      <c r="H21" s="133">
        <v>46339</v>
      </c>
      <c r="I21" s="135" t="s">
        <v>12</v>
      </c>
      <c r="J21" s="100"/>
      <c r="K21" s="136" t="s">
        <v>61</v>
      </c>
      <c r="L21" s="139"/>
    </row>
    <row r="22" spans="1:12" s="56" customFormat="1" ht="28.8" x14ac:dyDescent="0.3">
      <c r="A22" s="134">
        <v>15</v>
      </c>
      <c r="B22" s="138">
        <v>46295.000011574077</v>
      </c>
      <c r="C22" s="108" t="s">
        <v>91</v>
      </c>
      <c r="D22" s="101" t="s">
        <v>96</v>
      </c>
      <c r="E22" s="102" t="s">
        <v>97</v>
      </c>
      <c r="F22" s="108" t="s">
        <v>59</v>
      </c>
      <c r="G22" s="108" t="s">
        <v>60</v>
      </c>
      <c r="H22" s="133">
        <v>46367</v>
      </c>
      <c r="I22" s="135" t="s">
        <v>12</v>
      </c>
      <c r="J22" s="100"/>
      <c r="K22" s="136" t="s">
        <v>75</v>
      </c>
      <c r="L22" s="139"/>
    </row>
    <row r="23" spans="1:12" s="56" customFormat="1" ht="28.8" x14ac:dyDescent="0.3">
      <c r="A23" s="134">
        <v>16</v>
      </c>
      <c r="B23" s="138">
        <v>46295.000011574077</v>
      </c>
      <c r="C23" s="108" t="s">
        <v>91</v>
      </c>
      <c r="D23" s="101" t="s">
        <v>98</v>
      </c>
      <c r="E23" s="102" t="s">
        <v>99</v>
      </c>
      <c r="F23" s="108" t="s">
        <v>59</v>
      </c>
      <c r="G23" s="108" t="s">
        <v>60</v>
      </c>
      <c r="H23" s="133">
        <v>46391</v>
      </c>
      <c r="I23" s="135" t="s">
        <v>12</v>
      </c>
      <c r="J23" s="100"/>
      <c r="K23" s="136" t="s">
        <v>100</v>
      </c>
      <c r="L23" s="139"/>
    </row>
    <row r="24" spans="1:12" s="56" customFormat="1" ht="28.8" x14ac:dyDescent="0.3">
      <c r="A24" s="134">
        <v>17</v>
      </c>
      <c r="B24" s="138">
        <v>46295.000011574077</v>
      </c>
      <c r="C24" s="108" t="s">
        <v>91</v>
      </c>
      <c r="D24" s="101" t="s">
        <v>101</v>
      </c>
      <c r="E24" s="102" t="s">
        <v>102</v>
      </c>
      <c r="F24" s="108" t="s">
        <v>59</v>
      </c>
      <c r="G24" s="108" t="s">
        <v>60</v>
      </c>
      <c r="H24" s="133">
        <v>46360</v>
      </c>
      <c r="I24" s="135" t="s">
        <v>12</v>
      </c>
      <c r="J24" s="100"/>
      <c r="K24" s="136" t="s">
        <v>103</v>
      </c>
      <c r="L24" s="139"/>
    </row>
    <row r="25" spans="1:12" s="56" customFormat="1" ht="28.8" x14ac:dyDescent="0.3">
      <c r="A25" s="134">
        <v>18</v>
      </c>
      <c r="B25" s="138">
        <v>46295.000011574077</v>
      </c>
      <c r="C25" s="108" t="s">
        <v>91</v>
      </c>
      <c r="D25" s="101" t="s">
        <v>104</v>
      </c>
      <c r="E25" s="102" t="s">
        <v>105</v>
      </c>
      <c r="F25" s="108" t="s">
        <v>59</v>
      </c>
      <c r="G25" s="108" t="s">
        <v>60</v>
      </c>
      <c r="H25" s="133">
        <v>46384</v>
      </c>
      <c r="I25" s="135" t="s">
        <v>12</v>
      </c>
      <c r="J25" s="100"/>
      <c r="K25" s="136" t="s">
        <v>106</v>
      </c>
      <c r="L25" s="139"/>
    </row>
    <row r="26" spans="1:12" s="56" customFormat="1" ht="28.8" x14ac:dyDescent="0.3">
      <c r="A26" s="134">
        <v>19</v>
      </c>
      <c r="B26" s="138">
        <v>46295.000011574077</v>
      </c>
      <c r="C26" s="108" t="s">
        <v>91</v>
      </c>
      <c r="D26" s="101" t="s">
        <v>107</v>
      </c>
      <c r="E26" s="102" t="s">
        <v>108</v>
      </c>
      <c r="F26" s="108" t="s">
        <v>59</v>
      </c>
      <c r="G26" s="108" t="s">
        <v>60</v>
      </c>
      <c r="H26" s="133">
        <v>46405</v>
      </c>
      <c r="I26" s="135" t="s">
        <v>12</v>
      </c>
      <c r="J26" s="100"/>
      <c r="K26" s="136" t="s">
        <v>109</v>
      </c>
      <c r="L26" s="139"/>
    </row>
    <row r="27" spans="1:12" s="56" customFormat="1" ht="28.8" x14ac:dyDescent="0.3">
      <c r="A27" s="134">
        <v>20</v>
      </c>
      <c r="B27" s="138">
        <v>46295.000011574077</v>
      </c>
      <c r="C27" s="108" t="s">
        <v>91</v>
      </c>
      <c r="D27" s="101" t="s">
        <v>110</v>
      </c>
      <c r="E27" s="102" t="s">
        <v>111</v>
      </c>
      <c r="F27" s="108" t="s">
        <v>59</v>
      </c>
      <c r="G27" s="108" t="s">
        <v>60</v>
      </c>
      <c r="H27" s="133" t="s">
        <v>112</v>
      </c>
      <c r="I27" s="135" t="s">
        <v>12</v>
      </c>
      <c r="J27" s="100"/>
      <c r="K27" s="136" t="s">
        <v>113</v>
      </c>
      <c r="L27" s="139"/>
    </row>
    <row r="28" spans="1:12" s="56" customFormat="1" ht="28.8" x14ac:dyDescent="0.3">
      <c r="A28" s="134">
        <v>21</v>
      </c>
      <c r="B28" s="138">
        <v>46295.000011574077</v>
      </c>
      <c r="C28" s="108" t="s">
        <v>114</v>
      </c>
      <c r="D28" s="101" t="s">
        <v>115</v>
      </c>
      <c r="E28" s="102" t="s">
        <v>116</v>
      </c>
      <c r="F28" s="108" t="s">
        <v>59</v>
      </c>
      <c r="G28" s="108" t="s">
        <v>60</v>
      </c>
      <c r="H28" s="133">
        <v>46332</v>
      </c>
      <c r="I28" s="135" t="s">
        <v>12</v>
      </c>
      <c r="J28" s="100"/>
      <c r="K28" s="136" t="s">
        <v>64</v>
      </c>
      <c r="L28" s="139"/>
    </row>
    <row r="29" spans="1:12" s="56" customFormat="1" ht="28.8" x14ac:dyDescent="0.3">
      <c r="A29" s="134">
        <v>22</v>
      </c>
      <c r="B29" s="138">
        <v>46295.000011574077</v>
      </c>
      <c r="C29" s="108" t="s">
        <v>114</v>
      </c>
      <c r="D29" s="101" t="s">
        <v>117</v>
      </c>
      <c r="E29" s="102" t="s">
        <v>118</v>
      </c>
      <c r="F29" s="108" t="s">
        <v>59</v>
      </c>
      <c r="G29" s="108" t="s">
        <v>60</v>
      </c>
      <c r="H29" s="133">
        <v>46353</v>
      </c>
      <c r="I29" s="135" t="s">
        <v>12</v>
      </c>
      <c r="J29" s="100"/>
      <c r="K29" s="136" t="s">
        <v>70</v>
      </c>
      <c r="L29" s="139"/>
    </row>
    <row r="30" spans="1:12" s="56" customFormat="1" ht="28.8" x14ac:dyDescent="0.3">
      <c r="A30" s="134">
        <v>23</v>
      </c>
      <c r="B30" s="138">
        <v>46295.000011574077</v>
      </c>
      <c r="C30" s="108" t="s">
        <v>114</v>
      </c>
      <c r="D30" s="101" t="s">
        <v>119</v>
      </c>
      <c r="E30" s="102" t="s">
        <v>120</v>
      </c>
      <c r="F30" s="108" t="s">
        <v>59</v>
      </c>
      <c r="G30" s="108" t="s">
        <v>60</v>
      </c>
      <c r="H30" s="133">
        <v>46391</v>
      </c>
      <c r="I30" s="135" t="s">
        <v>12</v>
      </c>
      <c r="J30" s="100"/>
      <c r="K30" s="136" t="s">
        <v>100</v>
      </c>
      <c r="L30" s="139"/>
    </row>
    <row r="31" spans="1:12" s="56" customFormat="1" ht="28.8" x14ac:dyDescent="0.3">
      <c r="A31" s="134">
        <v>24</v>
      </c>
      <c r="B31" s="138">
        <v>46295.000011574077</v>
      </c>
      <c r="C31" s="108" t="s">
        <v>114</v>
      </c>
      <c r="D31" s="101" t="s">
        <v>121</v>
      </c>
      <c r="E31" s="102" t="s">
        <v>122</v>
      </c>
      <c r="F31" s="108" t="s">
        <v>59</v>
      </c>
      <c r="G31" s="108" t="s">
        <v>60</v>
      </c>
      <c r="H31" s="133">
        <v>46384</v>
      </c>
      <c r="I31" s="135" t="s">
        <v>12</v>
      </c>
      <c r="J31" s="100"/>
      <c r="K31" s="136" t="s">
        <v>106</v>
      </c>
      <c r="L31" s="139"/>
    </row>
    <row r="32" spans="1:12" s="56" customFormat="1" ht="14.4" x14ac:dyDescent="0.3">
      <c r="A32" s="134">
        <v>25</v>
      </c>
      <c r="B32" s="138">
        <v>46295.000011574077</v>
      </c>
      <c r="C32" s="108" t="s">
        <v>114</v>
      </c>
      <c r="D32" s="101" t="s">
        <v>123</v>
      </c>
      <c r="E32" s="102" t="s">
        <v>124</v>
      </c>
      <c r="F32" s="108" t="s">
        <v>59</v>
      </c>
      <c r="G32" s="108" t="s">
        <v>60</v>
      </c>
      <c r="H32" s="133">
        <v>46346</v>
      </c>
      <c r="I32" s="135" t="s">
        <v>12</v>
      </c>
      <c r="J32" s="100"/>
      <c r="K32" s="136" t="s">
        <v>67</v>
      </c>
      <c r="L32" s="139"/>
    </row>
    <row r="33" spans="1:12" s="56" customFormat="1" ht="28.8" x14ac:dyDescent="0.3">
      <c r="A33" s="134">
        <v>26</v>
      </c>
      <c r="B33" s="138">
        <v>46295.000011574077</v>
      </c>
      <c r="C33" s="108" t="s">
        <v>114</v>
      </c>
      <c r="D33" s="101" t="s">
        <v>125</v>
      </c>
      <c r="E33" s="102" t="s">
        <v>126</v>
      </c>
      <c r="F33" s="108" t="s">
        <v>59</v>
      </c>
      <c r="G33" s="108" t="s">
        <v>60</v>
      </c>
      <c r="H33" s="133">
        <v>46430</v>
      </c>
      <c r="I33" s="135" t="s">
        <v>12</v>
      </c>
      <c r="J33" s="100"/>
      <c r="K33" s="136" t="s">
        <v>127</v>
      </c>
      <c r="L33" s="139"/>
    </row>
    <row r="34" spans="1:12" s="56" customFormat="1" ht="14.4" x14ac:dyDescent="0.3">
      <c r="A34" s="134">
        <v>27</v>
      </c>
      <c r="B34" s="138">
        <v>46295.000011574077</v>
      </c>
      <c r="C34" s="108" t="s">
        <v>114</v>
      </c>
      <c r="D34" s="101" t="s">
        <v>128</v>
      </c>
      <c r="E34" s="102" t="s">
        <v>129</v>
      </c>
      <c r="F34" s="108" t="s">
        <v>59</v>
      </c>
      <c r="G34" s="108" t="s">
        <v>60</v>
      </c>
      <c r="H34" s="133">
        <v>46444</v>
      </c>
      <c r="I34" s="135" t="s">
        <v>12</v>
      </c>
      <c r="J34" s="100"/>
      <c r="K34" s="136" t="s">
        <v>130</v>
      </c>
      <c r="L34" s="139"/>
    </row>
    <row r="35" spans="1:12" s="56" customFormat="1" ht="28.8" x14ac:dyDescent="0.3">
      <c r="A35" s="134">
        <v>28</v>
      </c>
      <c r="B35" s="138">
        <v>46295.000011574077</v>
      </c>
      <c r="C35" s="108" t="s">
        <v>114</v>
      </c>
      <c r="D35" s="101" t="s">
        <v>131</v>
      </c>
      <c r="E35" s="102" t="s">
        <v>132</v>
      </c>
      <c r="F35" s="108" t="s">
        <v>59</v>
      </c>
      <c r="G35" s="108" t="s">
        <v>60</v>
      </c>
      <c r="H35" s="133">
        <v>46465</v>
      </c>
      <c r="I35" s="135" t="s">
        <v>12</v>
      </c>
      <c r="J35" s="100"/>
      <c r="K35" s="136" t="s">
        <v>133</v>
      </c>
      <c r="L35" s="139"/>
    </row>
    <row r="36" spans="1:12" s="56" customFormat="1" ht="14.4" x14ac:dyDescent="0.3">
      <c r="A36" s="134">
        <v>29</v>
      </c>
      <c r="B36" s="138">
        <v>46295.000011574077</v>
      </c>
      <c r="C36" s="108" t="s">
        <v>114</v>
      </c>
      <c r="D36" s="101" t="s">
        <v>134</v>
      </c>
      <c r="E36" s="102" t="s">
        <v>135</v>
      </c>
      <c r="F36" s="108" t="s">
        <v>59</v>
      </c>
      <c r="G36" s="108" t="s">
        <v>60</v>
      </c>
      <c r="H36" s="133">
        <v>46468</v>
      </c>
      <c r="I36" s="135" t="s">
        <v>12</v>
      </c>
      <c r="J36" s="100"/>
      <c r="K36" s="136" t="s">
        <v>90</v>
      </c>
      <c r="L36" s="139"/>
    </row>
    <row r="37" spans="1:12" s="56" customFormat="1" ht="14.4" x14ac:dyDescent="0.3">
      <c r="A37" s="134">
        <v>30</v>
      </c>
      <c r="B37" s="138">
        <v>46295.000011574077</v>
      </c>
      <c r="C37" s="108" t="s">
        <v>114</v>
      </c>
      <c r="D37" s="101" t="s">
        <v>136</v>
      </c>
      <c r="E37" s="102" t="s">
        <v>137</v>
      </c>
      <c r="F37" s="108" t="s">
        <v>59</v>
      </c>
      <c r="G37" s="108" t="s">
        <v>60</v>
      </c>
      <c r="H37" s="133">
        <v>46491</v>
      </c>
      <c r="I37" s="135" t="s">
        <v>12</v>
      </c>
      <c r="J37" s="100"/>
      <c r="K37" s="136" t="s">
        <v>138</v>
      </c>
      <c r="L37" s="139"/>
    </row>
    <row r="38" spans="1:12" s="56" customFormat="1" ht="28.8" x14ac:dyDescent="0.3">
      <c r="A38" s="134">
        <v>31</v>
      </c>
      <c r="B38" s="138">
        <v>46295.000011574077</v>
      </c>
      <c r="C38" s="108" t="s">
        <v>139</v>
      </c>
      <c r="D38" s="101" t="s">
        <v>140</v>
      </c>
      <c r="E38" s="102" t="s">
        <v>141</v>
      </c>
      <c r="F38" s="108" t="s">
        <v>59</v>
      </c>
      <c r="G38" s="108" t="s">
        <v>60</v>
      </c>
      <c r="H38" s="133">
        <v>46325</v>
      </c>
      <c r="I38" s="135" t="s">
        <v>12</v>
      </c>
      <c r="J38" s="100"/>
      <c r="K38" s="136" t="s">
        <v>142</v>
      </c>
      <c r="L38" s="139"/>
    </row>
    <row r="39" spans="1:12" s="56" customFormat="1" ht="28.8" x14ac:dyDescent="0.3">
      <c r="A39" s="134">
        <v>32</v>
      </c>
      <c r="B39" s="138">
        <v>46295.000011574077</v>
      </c>
      <c r="C39" s="108" t="s">
        <v>139</v>
      </c>
      <c r="D39" s="101" t="s">
        <v>143</v>
      </c>
      <c r="E39" s="102" t="s">
        <v>144</v>
      </c>
      <c r="F39" s="108" t="s">
        <v>59</v>
      </c>
      <c r="G39" s="108" t="s">
        <v>60</v>
      </c>
      <c r="H39" s="133">
        <v>46353</v>
      </c>
      <c r="I39" s="135" t="s">
        <v>12</v>
      </c>
      <c r="J39" s="100"/>
      <c r="K39" s="136" t="s">
        <v>70</v>
      </c>
      <c r="L39" s="139"/>
    </row>
    <row r="40" spans="1:12" s="56" customFormat="1" ht="28.8" x14ac:dyDescent="0.3">
      <c r="A40" s="134">
        <v>33</v>
      </c>
      <c r="B40" s="138">
        <v>46295.000011574077</v>
      </c>
      <c r="C40" s="108" t="s">
        <v>139</v>
      </c>
      <c r="D40" s="101" t="s">
        <v>145</v>
      </c>
      <c r="E40" s="102" t="s">
        <v>146</v>
      </c>
      <c r="F40" s="108" t="s">
        <v>59</v>
      </c>
      <c r="G40" s="108" t="s">
        <v>60</v>
      </c>
      <c r="H40" s="133">
        <v>46353</v>
      </c>
      <c r="I40" s="135" t="s">
        <v>12</v>
      </c>
      <c r="J40" s="100"/>
      <c r="K40" s="136" t="s">
        <v>70</v>
      </c>
      <c r="L40" s="139"/>
    </row>
    <row r="41" spans="1:12" s="56" customFormat="1" ht="28.8" x14ac:dyDescent="0.3">
      <c r="A41" s="134">
        <v>34</v>
      </c>
      <c r="B41" s="138">
        <v>46295.000011574077</v>
      </c>
      <c r="C41" s="108" t="s">
        <v>139</v>
      </c>
      <c r="D41" s="101" t="s">
        <v>147</v>
      </c>
      <c r="E41" s="102" t="s">
        <v>148</v>
      </c>
      <c r="F41" s="108" t="s">
        <v>59</v>
      </c>
      <c r="G41" s="108" t="s">
        <v>60</v>
      </c>
      <c r="H41" s="133">
        <v>46367</v>
      </c>
      <c r="I41" s="135" t="s">
        <v>12</v>
      </c>
      <c r="J41" s="100"/>
      <c r="K41" s="136" t="s">
        <v>75</v>
      </c>
      <c r="L41" s="139"/>
    </row>
    <row r="42" spans="1:12" s="56" customFormat="1" ht="28.8" x14ac:dyDescent="0.3">
      <c r="A42" s="134">
        <v>35</v>
      </c>
      <c r="B42" s="138">
        <v>46295.000011574077</v>
      </c>
      <c r="C42" s="108" t="s">
        <v>139</v>
      </c>
      <c r="D42" s="101" t="s">
        <v>149</v>
      </c>
      <c r="E42" s="102" t="s">
        <v>150</v>
      </c>
      <c r="F42" s="108" t="s">
        <v>59</v>
      </c>
      <c r="G42" s="108" t="s">
        <v>60</v>
      </c>
      <c r="H42" s="133">
        <v>46374</v>
      </c>
      <c r="I42" s="135" t="s">
        <v>12</v>
      </c>
      <c r="J42" s="100"/>
      <c r="K42" s="136" t="s">
        <v>84</v>
      </c>
      <c r="L42" s="139"/>
    </row>
    <row r="43" spans="1:12" s="56" customFormat="1" ht="43.2" x14ac:dyDescent="0.3">
      <c r="A43" s="134">
        <v>36</v>
      </c>
      <c r="B43" s="138">
        <v>46295.000011574077</v>
      </c>
      <c r="C43" s="108" t="s">
        <v>139</v>
      </c>
      <c r="D43" s="101" t="s">
        <v>151</v>
      </c>
      <c r="E43" s="102" t="s">
        <v>152</v>
      </c>
      <c r="F43" s="108" t="s">
        <v>59</v>
      </c>
      <c r="G43" s="108" t="s">
        <v>60</v>
      </c>
      <c r="H43" s="133">
        <v>46374</v>
      </c>
      <c r="I43" s="135" t="s">
        <v>12</v>
      </c>
      <c r="J43" s="100"/>
      <c r="K43" s="136" t="s">
        <v>84</v>
      </c>
      <c r="L43" s="139"/>
    </row>
    <row r="44" spans="1:12" s="56" customFormat="1" ht="28.8" x14ac:dyDescent="0.3">
      <c r="A44" s="134">
        <v>37</v>
      </c>
      <c r="B44" s="138">
        <v>46295.000011574077</v>
      </c>
      <c r="C44" s="108" t="s">
        <v>139</v>
      </c>
      <c r="D44" s="101" t="s">
        <v>153</v>
      </c>
      <c r="E44" s="102" t="s">
        <v>154</v>
      </c>
      <c r="F44" s="108" t="s">
        <v>59</v>
      </c>
      <c r="G44" s="108" t="s">
        <v>60</v>
      </c>
      <c r="H44" s="133">
        <v>46391</v>
      </c>
      <c r="I44" s="135" t="s">
        <v>12</v>
      </c>
      <c r="J44" s="100"/>
      <c r="K44" s="136" t="s">
        <v>100</v>
      </c>
      <c r="L44" s="139"/>
    </row>
    <row r="45" spans="1:12" s="56" customFormat="1" ht="14.4" x14ac:dyDescent="0.3">
      <c r="A45" s="134">
        <v>38</v>
      </c>
      <c r="B45" s="138">
        <v>46295.000011574077</v>
      </c>
      <c r="C45" s="108" t="s">
        <v>139</v>
      </c>
      <c r="D45" s="101" t="s">
        <v>155</v>
      </c>
      <c r="E45" s="102" t="s">
        <v>156</v>
      </c>
      <c r="F45" s="108" t="s">
        <v>59</v>
      </c>
      <c r="G45" s="108" t="s">
        <v>60</v>
      </c>
      <c r="H45" s="133">
        <v>46416</v>
      </c>
      <c r="I45" s="135" t="s">
        <v>12</v>
      </c>
      <c r="J45" s="100"/>
      <c r="K45" s="136" t="s">
        <v>157</v>
      </c>
      <c r="L45" s="139"/>
    </row>
    <row r="46" spans="1:12" s="56" customFormat="1" ht="28.8" x14ac:dyDescent="0.3">
      <c r="A46" s="134">
        <v>39</v>
      </c>
      <c r="B46" s="138">
        <v>46295.000011574077</v>
      </c>
      <c r="C46" s="108" t="s">
        <v>158</v>
      </c>
      <c r="D46" s="101" t="s">
        <v>159</v>
      </c>
      <c r="E46" s="102" t="s">
        <v>160</v>
      </c>
      <c r="F46" s="108" t="s">
        <v>59</v>
      </c>
      <c r="G46" s="108" t="s">
        <v>60</v>
      </c>
      <c r="H46" s="133">
        <v>46339</v>
      </c>
      <c r="I46" s="135" t="s">
        <v>12</v>
      </c>
      <c r="J46" s="100"/>
      <c r="K46" s="136" t="s">
        <v>61</v>
      </c>
      <c r="L46" s="139"/>
    </row>
    <row r="47" spans="1:12" s="56" customFormat="1" ht="28.8" x14ac:dyDescent="0.3">
      <c r="A47" s="134">
        <v>40</v>
      </c>
      <c r="B47" s="138">
        <v>46295.000011574077</v>
      </c>
      <c r="C47" s="108" t="s">
        <v>158</v>
      </c>
      <c r="D47" s="101" t="s">
        <v>161</v>
      </c>
      <c r="E47" s="102" t="s">
        <v>162</v>
      </c>
      <c r="F47" s="108" t="s">
        <v>59</v>
      </c>
      <c r="G47" s="108" t="s">
        <v>60</v>
      </c>
      <c r="H47" s="133">
        <v>46367</v>
      </c>
      <c r="I47" s="135" t="s">
        <v>12</v>
      </c>
      <c r="J47" s="100"/>
      <c r="K47" s="136" t="s">
        <v>75</v>
      </c>
      <c r="L47" s="139"/>
    </row>
    <row r="48" spans="1:12" s="56" customFormat="1" ht="28.8" x14ac:dyDescent="0.3">
      <c r="A48" s="134">
        <v>41</v>
      </c>
      <c r="B48" s="138">
        <v>46295.000011574077</v>
      </c>
      <c r="C48" s="108" t="s">
        <v>158</v>
      </c>
      <c r="D48" s="101" t="s">
        <v>163</v>
      </c>
      <c r="E48" s="102" t="s">
        <v>164</v>
      </c>
      <c r="F48" s="108" t="s">
        <v>59</v>
      </c>
      <c r="G48" s="108" t="s">
        <v>60</v>
      </c>
      <c r="H48" s="133">
        <v>46325</v>
      </c>
      <c r="I48" s="135" t="s">
        <v>12</v>
      </c>
      <c r="J48" s="100"/>
      <c r="K48" s="136" t="s">
        <v>142</v>
      </c>
      <c r="L48" s="139"/>
    </row>
    <row r="49" spans="1:12" s="56" customFormat="1" ht="28.8" x14ac:dyDescent="0.3">
      <c r="A49" s="134">
        <v>42</v>
      </c>
      <c r="B49" s="138">
        <v>46295.000011574077</v>
      </c>
      <c r="C49" s="108" t="s">
        <v>158</v>
      </c>
      <c r="D49" s="101" t="s">
        <v>165</v>
      </c>
      <c r="E49" s="102" t="s">
        <v>166</v>
      </c>
      <c r="F49" s="108" t="s">
        <v>59</v>
      </c>
      <c r="G49" s="108" t="s">
        <v>60</v>
      </c>
      <c r="H49" s="133">
        <v>46416</v>
      </c>
      <c r="I49" s="135" t="s">
        <v>12</v>
      </c>
      <c r="J49" s="100"/>
      <c r="K49" s="136" t="s">
        <v>157</v>
      </c>
      <c r="L49" s="139"/>
    </row>
    <row r="50" spans="1:12" s="56" customFormat="1" ht="28.8" x14ac:dyDescent="0.3">
      <c r="A50" s="134">
        <v>43</v>
      </c>
      <c r="B50" s="138">
        <v>46295.000011574077</v>
      </c>
      <c r="C50" s="108" t="s">
        <v>158</v>
      </c>
      <c r="D50" s="101" t="s">
        <v>167</v>
      </c>
      <c r="E50" s="102" t="s">
        <v>168</v>
      </c>
      <c r="F50" s="108" t="s">
        <v>59</v>
      </c>
      <c r="G50" s="108" t="s">
        <v>60</v>
      </c>
      <c r="H50" s="133">
        <v>46391</v>
      </c>
      <c r="I50" s="135" t="s">
        <v>12</v>
      </c>
      <c r="J50" s="100"/>
      <c r="K50" s="136" t="s">
        <v>100</v>
      </c>
      <c r="L50" s="139"/>
    </row>
  </sheetData>
  <mergeCells count="2">
    <mergeCell ref="K1:L4"/>
    <mergeCell ref="A2:C3"/>
  </mergeCells>
  <phoneticPr fontId="4" type="noConversion"/>
  <conditionalFormatting sqref="A8:J1048576">
    <cfRule type="expression" dxfId="34" priority="27">
      <formula>$K8=$D$4</formula>
    </cfRule>
  </conditionalFormatting>
  <conditionalFormatting sqref="I8:I1048576">
    <cfRule type="cellIs" dxfId="33" priority="22" operator="equal">
      <formula>"On track"</formula>
    </cfRule>
    <cfRule type="cellIs" dxfId="32" priority="23" operator="equal">
      <formula>"Complete"</formula>
    </cfRule>
    <cfRule type="cellIs" dxfId="31" priority="25" operator="equal">
      <formula>"Overdue"</formula>
    </cfRule>
    <cfRule type="cellIs" dxfId="30" priority="26" operator="equal">
      <formula>"At risk"</formula>
    </cfRule>
  </conditionalFormatting>
  <dataValidations count="2">
    <dataValidation type="date" allowBlank="1" showInputMessage="1" showErrorMessage="1" sqref="N1" xr:uid="{6EE814F1-8711-46AB-9E58-6BC9AF4C330E}">
      <formula1>45292</formula1>
      <formula2>49309</formula2>
    </dataValidation>
    <dataValidation type="list" allowBlank="1" showInputMessage="1" showErrorMessage="1" sqref="F8:F1048576" xr:uid="{73E976FD-E759-4EB7-87CA-54DD2D233EFF}">
      <formula1>"internal, external"</formula1>
    </dataValidation>
  </dataValidations>
  <pageMargins left="0.7" right="0.7" top="0.75" bottom="0.75" header="0.3" footer="0.3"/>
  <pageSetup paperSize="9" scale="41" fitToHeight="0" orientation="landscape" horizontalDpi="300" verticalDpi="30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73D0AAF-F294-4D38-9831-6A2564AE1D30}">
          <x14:formula1>
            <xm:f>'Calculation Sheet'!$A$3:$A$6</xm:f>
          </x14:formula1>
          <xm:sqref>I8:I1048576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B8B29C-078D-48F9-B6CB-C6156B0B6550}">
  <sheetPr codeName="tb_Agenda">
    <pageSetUpPr fitToPage="1"/>
  </sheetPr>
  <dimension ref="A1:G95"/>
  <sheetViews>
    <sheetView showGridLines="0" zoomScale="85" zoomScaleNormal="85" workbookViewId="0">
      <pane ySplit="11" topLeftCell="A12" activePane="bottomLeft" state="frozen"/>
      <selection pane="bottomLeft" activeCell="C15" sqref="C15"/>
    </sheetView>
  </sheetViews>
  <sheetFormatPr defaultColWidth="11.5546875" defaultRowHeight="14.4" x14ac:dyDescent="0.3"/>
  <cols>
    <col min="1" max="1" width="9.6640625" style="64" customWidth="1"/>
    <col min="2" max="2" width="17.6640625" style="64" customWidth="1"/>
    <col min="3" max="3" width="78.109375" customWidth="1"/>
    <col min="4" max="4" width="16.6640625" style="103" customWidth="1"/>
    <col min="5" max="5" width="20.6640625" style="64" customWidth="1"/>
    <col min="6" max="6" width="10.6640625" style="86" customWidth="1"/>
    <col min="7" max="7" width="10.6640625" style="64" customWidth="1"/>
  </cols>
  <sheetData>
    <row r="1" spans="1:7" ht="25.2" customHeight="1" x14ac:dyDescent="0.3">
      <c r="A1" s="117"/>
      <c r="B1" s="117"/>
      <c r="C1" s="117"/>
      <c r="D1" s="64"/>
      <c r="F1"/>
      <c r="G1" s="55"/>
    </row>
    <row r="2" spans="1:7" ht="25.2" customHeight="1" x14ac:dyDescent="0.3">
      <c r="A2" s="117"/>
      <c r="B2" s="117"/>
      <c r="C2" s="117"/>
      <c r="D2" s="64"/>
      <c r="F2"/>
      <c r="G2" s="55"/>
    </row>
    <row r="3" spans="1:7" ht="25.2" customHeight="1" x14ac:dyDescent="0.3">
      <c r="A3" s="81">
        <f>LOP!A4</f>
        <v>0</v>
      </c>
      <c r="B3" s="81"/>
      <c r="C3" s="82">
        <f>LOP!B4</f>
        <v>0</v>
      </c>
      <c r="D3" s="64"/>
      <c r="F3"/>
      <c r="G3" s="55"/>
    </row>
    <row r="4" spans="1:7" ht="6" customHeight="1" x14ac:dyDescent="0.3">
      <c r="A4" s="29"/>
      <c r="B4" s="29"/>
      <c r="C4" s="1"/>
      <c r="D4" s="73"/>
      <c r="E4" s="3"/>
      <c r="F4" s="2"/>
      <c r="G4" s="1"/>
    </row>
    <row r="5" spans="1:7" ht="3" customHeight="1" x14ac:dyDescent="0.3">
      <c r="A5" s="83"/>
      <c r="B5" s="83"/>
      <c r="D5" s="64"/>
      <c r="F5"/>
      <c r="G5" s="55"/>
    </row>
    <row r="6" spans="1:7" ht="18" customHeight="1" x14ac:dyDescent="0.3">
      <c r="A6" s="84" t="s">
        <v>20</v>
      </c>
      <c r="B6" s="118" t="s">
        <v>49</v>
      </c>
      <c r="C6" s="118"/>
      <c r="D6" s="64"/>
      <c r="F6"/>
      <c r="G6" s="55"/>
    </row>
    <row r="7" spans="1:7" ht="18" customHeight="1" x14ac:dyDescent="0.3">
      <c r="A7" s="84" t="s">
        <v>21</v>
      </c>
      <c r="B7" s="119">
        <v>45709</v>
      </c>
      <c r="C7" s="119"/>
      <c r="D7" s="64" t="s">
        <v>27</v>
      </c>
      <c r="E7" s="77" t="s">
        <v>50</v>
      </c>
      <c r="F7"/>
      <c r="G7" s="55"/>
    </row>
    <row r="8" spans="1:7" ht="18" customHeight="1" x14ac:dyDescent="0.3">
      <c r="A8" s="85" t="s">
        <v>22</v>
      </c>
      <c r="B8" s="120" t="s">
        <v>52</v>
      </c>
      <c r="C8" s="120"/>
      <c r="D8" s="64" t="s">
        <v>28</v>
      </c>
      <c r="E8" s="105"/>
      <c r="F8"/>
      <c r="G8" s="55"/>
    </row>
    <row r="9" spans="1:7" ht="18" customHeight="1" x14ac:dyDescent="0.3">
      <c r="A9" s="84" t="s">
        <v>23</v>
      </c>
      <c r="B9" s="121" t="s">
        <v>29</v>
      </c>
      <c r="C9" s="121"/>
      <c r="D9" s="64"/>
      <c r="F9" s="78">
        <v>0.39583333333333331</v>
      </c>
      <c r="G9" s="79">
        <v>0.5</v>
      </c>
    </row>
    <row r="10" spans="1:7" ht="3" customHeight="1" x14ac:dyDescent="0.3">
      <c r="A10" s="83"/>
      <c r="B10" s="83"/>
      <c r="D10" s="64"/>
      <c r="F10"/>
      <c r="G10" s="55"/>
    </row>
    <row r="11" spans="1:7" s="80" customFormat="1" ht="30" customHeight="1" x14ac:dyDescent="0.3">
      <c r="A11" s="74" t="s">
        <v>1</v>
      </c>
      <c r="B11" s="75" t="s">
        <v>3</v>
      </c>
      <c r="C11" s="76" t="s">
        <v>5</v>
      </c>
      <c r="D11" s="75" t="s">
        <v>7</v>
      </c>
      <c r="E11" s="75" t="s">
        <v>24</v>
      </c>
      <c r="F11" s="75" t="s">
        <v>25</v>
      </c>
      <c r="G11" s="74" t="s">
        <v>26</v>
      </c>
    </row>
    <row r="12" spans="1:7" ht="66" customHeight="1" x14ac:dyDescent="0.3">
      <c r="A12" s="64">
        <v>1</v>
      </c>
      <c r="B12" s="64" t="s">
        <v>51</v>
      </c>
      <c r="C12" s="109" t="s">
        <v>53</v>
      </c>
      <c r="D12" s="103" t="s">
        <v>48</v>
      </c>
      <c r="E12" s="103" t="s">
        <v>54</v>
      </c>
      <c r="F12" s="86">
        <f>IF(A12="","",IF(NOT(ISNUMBER(F11)),$F$9,F11+G11/1440))</f>
        <v>0.39583333333333331</v>
      </c>
      <c r="G12" s="64">
        <v>1</v>
      </c>
    </row>
    <row r="13" spans="1:7" ht="96.75" customHeight="1" x14ac:dyDescent="0.3">
      <c r="C13" s="104"/>
      <c r="F13" s="86" t="str">
        <f t="shared" ref="F13:F71" si="0">IF(A13="","",IF(NOT(ISNUMBER(F12)),$F$9,F12+G12/1440))</f>
        <v/>
      </c>
    </row>
    <row r="14" spans="1:7" ht="64.5" customHeight="1" x14ac:dyDescent="0.3">
      <c r="C14" s="104"/>
      <c r="F14" s="86" t="str">
        <f t="shared" si="0"/>
        <v/>
      </c>
    </row>
    <row r="15" spans="1:7" ht="110.25" customHeight="1" x14ac:dyDescent="0.3">
      <c r="C15" s="104"/>
      <c r="F15" s="86" t="str">
        <f t="shared" ref="F15" si="1">IF(A15="","",IF(NOT(ISNUMBER(F14)),$F$9,F14+G14/1440))</f>
        <v/>
      </c>
    </row>
    <row r="16" spans="1:7" ht="83.25" customHeight="1" x14ac:dyDescent="0.3">
      <c r="C16" s="104"/>
      <c r="F16" s="86" t="str">
        <f>IF(A16="","",IF(NOT(ISNUMBER(F15)),$F$9,F15+G15/1440))</f>
        <v/>
      </c>
    </row>
    <row r="17" spans="3:6" ht="42" customHeight="1" x14ac:dyDescent="0.3">
      <c r="C17" s="104"/>
      <c r="F17" s="86" t="str">
        <f t="shared" si="0"/>
        <v/>
      </c>
    </row>
    <row r="18" spans="3:6" ht="225.75" customHeight="1" x14ac:dyDescent="0.3">
      <c r="C18" s="104"/>
      <c r="F18" s="86" t="str">
        <f t="shared" si="0"/>
        <v/>
      </c>
    </row>
    <row r="19" spans="3:6" ht="66" customHeight="1" x14ac:dyDescent="0.3">
      <c r="C19" s="104"/>
      <c r="F19" s="86" t="str">
        <f t="shared" si="0"/>
        <v/>
      </c>
    </row>
    <row r="20" spans="3:6" ht="96" customHeight="1" x14ac:dyDescent="0.3">
      <c r="C20" s="107"/>
      <c r="F20" s="86" t="str">
        <f t="shared" si="0"/>
        <v/>
      </c>
    </row>
    <row r="21" spans="3:6" ht="34.5" customHeight="1" x14ac:dyDescent="0.3">
      <c r="C21" s="104"/>
      <c r="F21" s="86" t="str">
        <f>IF(A21="","",IF(NOT(ISNUMBER(#REF!)),$F$9,#REF!+#REF!/1440))</f>
        <v/>
      </c>
    </row>
    <row r="22" spans="3:6" x14ac:dyDescent="0.3">
      <c r="C22" s="89"/>
      <c r="F22" s="86" t="str">
        <f t="shared" si="0"/>
        <v/>
      </c>
    </row>
    <row r="23" spans="3:6" x14ac:dyDescent="0.3">
      <c r="F23" s="86" t="str">
        <f t="shared" si="0"/>
        <v/>
      </c>
    </row>
    <row r="24" spans="3:6" x14ac:dyDescent="0.3">
      <c r="F24" s="86" t="str">
        <f t="shared" si="0"/>
        <v/>
      </c>
    </row>
    <row r="25" spans="3:6" x14ac:dyDescent="0.3">
      <c r="F25" s="86" t="str">
        <f t="shared" si="0"/>
        <v/>
      </c>
    </row>
    <row r="26" spans="3:6" x14ac:dyDescent="0.3">
      <c r="F26" s="86" t="str">
        <f t="shared" si="0"/>
        <v/>
      </c>
    </row>
    <row r="27" spans="3:6" x14ac:dyDescent="0.3">
      <c r="F27" s="86" t="str">
        <f t="shared" si="0"/>
        <v/>
      </c>
    </row>
    <row r="28" spans="3:6" x14ac:dyDescent="0.3">
      <c r="F28" s="86" t="str">
        <f t="shared" si="0"/>
        <v/>
      </c>
    </row>
    <row r="29" spans="3:6" x14ac:dyDescent="0.3">
      <c r="F29" s="86" t="str">
        <f t="shared" si="0"/>
        <v/>
      </c>
    </row>
    <row r="30" spans="3:6" x14ac:dyDescent="0.3">
      <c r="F30" s="86" t="str">
        <f t="shared" si="0"/>
        <v/>
      </c>
    </row>
    <row r="31" spans="3:6" x14ac:dyDescent="0.3">
      <c r="F31" s="86" t="str">
        <f t="shared" si="0"/>
        <v/>
      </c>
    </row>
    <row r="32" spans="3:6" x14ac:dyDescent="0.3">
      <c r="F32" s="86" t="str">
        <f t="shared" si="0"/>
        <v/>
      </c>
    </row>
    <row r="33" spans="6:6" x14ac:dyDescent="0.3">
      <c r="F33" s="86" t="str">
        <f t="shared" si="0"/>
        <v/>
      </c>
    </row>
    <row r="34" spans="6:6" x14ac:dyDescent="0.3">
      <c r="F34" s="86" t="str">
        <f t="shared" si="0"/>
        <v/>
      </c>
    </row>
    <row r="35" spans="6:6" x14ac:dyDescent="0.3">
      <c r="F35" s="86" t="str">
        <f t="shared" si="0"/>
        <v/>
      </c>
    </row>
    <row r="36" spans="6:6" x14ac:dyDescent="0.3">
      <c r="F36" s="86" t="str">
        <f t="shared" si="0"/>
        <v/>
      </c>
    </row>
    <row r="37" spans="6:6" x14ac:dyDescent="0.3">
      <c r="F37" s="86" t="str">
        <f t="shared" si="0"/>
        <v/>
      </c>
    </row>
    <row r="38" spans="6:6" x14ac:dyDescent="0.3">
      <c r="F38" s="86" t="str">
        <f t="shared" si="0"/>
        <v/>
      </c>
    </row>
    <row r="39" spans="6:6" x14ac:dyDescent="0.3">
      <c r="F39" s="86" t="str">
        <f t="shared" si="0"/>
        <v/>
      </c>
    </row>
    <row r="40" spans="6:6" x14ac:dyDescent="0.3">
      <c r="F40" s="86" t="str">
        <f t="shared" si="0"/>
        <v/>
      </c>
    </row>
    <row r="41" spans="6:6" x14ac:dyDescent="0.3">
      <c r="F41" s="86" t="str">
        <f t="shared" si="0"/>
        <v/>
      </c>
    </row>
    <row r="42" spans="6:6" x14ac:dyDescent="0.3">
      <c r="F42" s="86" t="str">
        <f t="shared" si="0"/>
        <v/>
      </c>
    </row>
    <row r="43" spans="6:6" x14ac:dyDescent="0.3">
      <c r="F43" s="86" t="str">
        <f t="shared" si="0"/>
        <v/>
      </c>
    </row>
    <row r="44" spans="6:6" x14ac:dyDescent="0.3">
      <c r="F44" s="86" t="str">
        <f t="shared" si="0"/>
        <v/>
      </c>
    </row>
    <row r="45" spans="6:6" x14ac:dyDescent="0.3">
      <c r="F45" s="86" t="str">
        <f t="shared" si="0"/>
        <v/>
      </c>
    </row>
    <row r="46" spans="6:6" x14ac:dyDescent="0.3">
      <c r="F46" s="86" t="str">
        <f t="shared" si="0"/>
        <v/>
      </c>
    </row>
    <row r="47" spans="6:6" x14ac:dyDescent="0.3">
      <c r="F47" s="86" t="str">
        <f t="shared" si="0"/>
        <v/>
      </c>
    </row>
    <row r="48" spans="6:6" x14ac:dyDescent="0.3">
      <c r="F48" s="86" t="str">
        <f t="shared" si="0"/>
        <v/>
      </c>
    </row>
    <row r="49" spans="6:6" x14ac:dyDescent="0.3">
      <c r="F49" s="86" t="str">
        <f t="shared" si="0"/>
        <v/>
      </c>
    </row>
    <row r="50" spans="6:6" x14ac:dyDescent="0.3">
      <c r="F50" s="86" t="str">
        <f t="shared" si="0"/>
        <v/>
      </c>
    </row>
    <row r="51" spans="6:6" x14ac:dyDescent="0.3">
      <c r="F51" s="86" t="str">
        <f t="shared" si="0"/>
        <v/>
      </c>
    </row>
    <row r="52" spans="6:6" x14ac:dyDescent="0.3">
      <c r="F52" s="86" t="str">
        <f t="shared" si="0"/>
        <v/>
      </c>
    </row>
    <row r="53" spans="6:6" x14ac:dyDescent="0.3">
      <c r="F53" s="86" t="str">
        <f t="shared" si="0"/>
        <v/>
      </c>
    </row>
    <row r="54" spans="6:6" x14ac:dyDescent="0.3">
      <c r="F54" s="86" t="str">
        <f t="shared" si="0"/>
        <v/>
      </c>
    </row>
    <row r="55" spans="6:6" x14ac:dyDescent="0.3">
      <c r="F55" s="86" t="str">
        <f t="shared" si="0"/>
        <v/>
      </c>
    </row>
    <row r="56" spans="6:6" x14ac:dyDescent="0.3">
      <c r="F56" s="86" t="str">
        <f t="shared" si="0"/>
        <v/>
      </c>
    </row>
    <row r="57" spans="6:6" x14ac:dyDescent="0.3">
      <c r="F57" s="86" t="str">
        <f t="shared" si="0"/>
        <v/>
      </c>
    </row>
    <row r="58" spans="6:6" x14ac:dyDescent="0.3">
      <c r="F58" s="86" t="str">
        <f t="shared" si="0"/>
        <v/>
      </c>
    </row>
    <row r="59" spans="6:6" x14ac:dyDescent="0.3">
      <c r="F59" s="86" t="str">
        <f t="shared" si="0"/>
        <v/>
      </c>
    </row>
    <row r="60" spans="6:6" x14ac:dyDescent="0.3">
      <c r="F60" s="86" t="str">
        <f t="shared" si="0"/>
        <v/>
      </c>
    </row>
    <row r="61" spans="6:6" x14ac:dyDescent="0.3">
      <c r="F61" s="86" t="str">
        <f t="shared" si="0"/>
        <v/>
      </c>
    </row>
    <row r="62" spans="6:6" x14ac:dyDescent="0.3">
      <c r="F62" s="86" t="str">
        <f t="shared" si="0"/>
        <v/>
      </c>
    </row>
    <row r="63" spans="6:6" x14ac:dyDescent="0.3">
      <c r="F63" s="86" t="str">
        <f t="shared" si="0"/>
        <v/>
      </c>
    </row>
    <row r="64" spans="6:6" x14ac:dyDescent="0.3">
      <c r="F64" s="86" t="str">
        <f t="shared" si="0"/>
        <v/>
      </c>
    </row>
    <row r="65" spans="6:6" x14ac:dyDescent="0.3">
      <c r="F65" s="86" t="str">
        <f t="shared" si="0"/>
        <v/>
      </c>
    </row>
    <row r="66" spans="6:6" x14ac:dyDescent="0.3">
      <c r="F66" s="86" t="str">
        <f t="shared" si="0"/>
        <v/>
      </c>
    </row>
    <row r="67" spans="6:6" x14ac:dyDescent="0.3">
      <c r="F67" s="86" t="str">
        <f t="shared" si="0"/>
        <v/>
      </c>
    </row>
    <row r="68" spans="6:6" x14ac:dyDescent="0.3">
      <c r="F68" s="86" t="str">
        <f t="shared" si="0"/>
        <v/>
      </c>
    </row>
    <row r="69" spans="6:6" x14ac:dyDescent="0.3">
      <c r="F69" s="86" t="str">
        <f t="shared" si="0"/>
        <v/>
      </c>
    </row>
    <row r="70" spans="6:6" x14ac:dyDescent="0.3">
      <c r="F70" s="86" t="str">
        <f t="shared" si="0"/>
        <v/>
      </c>
    </row>
    <row r="71" spans="6:6" x14ac:dyDescent="0.3">
      <c r="F71" s="86" t="str">
        <f t="shared" si="0"/>
        <v/>
      </c>
    </row>
    <row r="72" spans="6:6" x14ac:dyDescent="0.3">
      <c r="F72" s="86" t="str">
        <f t="shared" ref="F72:F95" si="2">IF(A72="","",IF(NOT(ISNUMBER(F71)),$F$9,F71+G71/1440))</f>
        <v/>
      </c>
    </row>
    <row r="73" spans="6:6" x14ac:dyDescent="0.3">
      <c r="F73" s="86" t="str">
        <f t="shared" si="2"/>
        <v/>
      </c>
    </row>
    <row r="74" spans="6:6" x14ac:dyDescent="0.3">
      <c r="F74" s="86" t="str">
        <f t="shared" si="2"/>
        <v/>
      </c>
    </row>
    <row r="75" spans="6:6" x14ac:dyDescent="0.3">
      <c r="F75" s="86" t="str">
        <f t="shared" si="2"/>
        <v/>
      </c>
    </row>
    <row r="76" spans="6:6" x14ac:dyDescent="0.3">
      <c r="F76" s="86" t="str">
        <f t="shared" si="2"/>
        <v/>
      </c>
    </row>
    <row r="77" spans="6:6" x14ac:dyDescent="0.3">
      <c r="F77" s="86" t="str">
        <f t="shared" si="2"/>
        <v/>
      </c>
    </row>
    <row r="78" spans="6:6" x14ac:dyDescent="0.3">
      <c r="F78" s="86" t="str">
        <f t="shared" si="2"/>
        <v/>
      </c>
    </row>
    <row r="79" spans="6:6" x14ac:dyDescent="0.3">
      <c r="F79" s="86" t="str">
        <f t="shared" si="2"/>
        <v/>
      </c>
    </row>
    <row r="80" spans="6:6" x14ac:dyDescent="0.3">
      <c r="F80" s="86" t="str">
        <f t="shared" si="2"/>
        <v/>
      </c>
    </row>
    <row r="81" spans="6:6" x14ac:dyDescent="0.3">
      <c r="F81" s="86" t="str">
        <f t="shared" si="2"/>
        <v/>
      </c>
    </row>
    <row r="82" spans="6:6" x14ac:dyDescent="0.3">
      <c r="F82" s="86" t="str">
        <f t="shared" si="2"/>
        <v/>
      </c>
    </row>
    <row r="83" spans="6:6" x14ac:dyDescent="0.3">
      <c r="F83" s="86" t="str">
        <f t="shared" si="2"/>
        <v/>
      </c>
    </row>
    <row r="84" spans="6:6" x14ac:dyDescent="0.3">
      <c r="F84" s="86" t="str">
        <f t="shared" si="2"/>
        <v/>
      </c>
    </row>
    <row r="85" spans="6:6" x14ac:dyDescent="0.3">
      <c r="F85" s="86" t="str">
        <f t="shared" si="2"/>
        <v/>
      </c>
    </row>
    <row r="86" spans="6:6" x14ac:dyDescent="0.3">
      <c r="F86" s="86" t="str">
        <f t="shared" si="2"/>
        <v/>
      </c>
    </row>
    <row r="87" spans="6:6" x14ac:dyDescent="0.3">
      <c r="F87" s="86" t="str">
        <f t="shared" si="2"/>
        <v/>
      </c>
    </row>
    <row r="88" spans="6:6" x14ac:dyDescent="0.3">
      <c r="F88" s="86" t="str">
        <f t="shared" si="2"/>
        <v/>
      </c>
    </row>
    <row r="89" spans="6:6" x14ac:dyDescent="0.3">
      <c r="F89" s="86" t="str">
        <f t="shared" si="2"/>
        <v/>
      </c>
    </row>
    <row r="90" spans="6:6" x14ac:dyDescent="0.3">
      <c r="F90" s="86" t="str">
        <f t="shared" si="2"/>
        <v/>
      </c>
    </row>
    <row r="91" spans="6:6" x14ac:dyDescent="0.3">
      <c r="F91" s="86" t="str">
        <f t="shared" si="2"/>
        <v/>
      </c>
    </row>
    <row r="92" spans="6:6" x14ac:dyDescent="0.3">
      <c r="F92" s="86" t="str">
        <f t="shared" si="2"/>
        <v/>
      </c>
    </row>
    <row r="93" spans="6:6" x14ac:dyDescent="0.3">
      <c r="F93" s="86" t="str">
        <f t="shared" si="2"/>
        <v/>
      </c>
    </row>
    <row r="94" spans="6:6" x14ac:dyDescent="0.3">
      <c r="F94" s="86" t="str">
        <f t="shared" si="2"/>
        <v/>
      </c>
    </row>
    <row r="95" spans="6:6" x14ac:dyDescent="0.3">
      <c r="F95" s="86" t="str">
        <f t="shared" si="2"/>
        <v/>
      </c>
    </row>
  </sheetData>
  <mergeCells count="5">
    <mergeCell ref="A1:C2"/>
    <mergeCell ref="B6:C6"/>
    <mergeCell ref="B7:C7"/>
    <mergeCell ref="B8:C8"/>
    <mergeCell ref="B9:C9"/>
  </mergeCells>
  <conditionalFormatting sqref="A12:G19 A20:B20 D20:G20 A21:G1048576">
    <cfRule type="expression" dxfId="18" priority="3">
      <formula>$A12&gt;0</formula>
    </cfRule>
  </conditionalFormatting>
  <pageMargins left="0.51181102362204722" right="0" top="0.59055118110236227" bottom="0.59055118110236227" header="0.31496062992125984" footer="0.31496062992125984"/>
  <pageSetup paperSize="9" scale="32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E82A64-204D-4B99-992D-B90FDEC41C1D}">
  <sheetPr codeName="tb_Calculation"/>
  <dimension ref="A1:E11"/>
  <sheetViews>
    <sheetView workbookViewId="0">
      <selection activeCell="C16" sqref="C16"/>
    </sheetView>
  </sheetViews>
  <sheetFormatPr defaultColWidth="11.5546875" defaultRowHeight="15.6" x14ac:dyDescent="0.3"/>
  <cols>
    <col min="1" max="1" width="16" style="5" customWidth="1"/>
    <col min="2" max="3" width="11.5546875" style="5"/>
    <col min="4" max="4" width="16" style="5" customWidth="1"/>
    <col min="5" max="8" width="11.5546875" style="5"/>
    <col min="9" max="9" width="37.33203125" style="5" customWidth="1"/>
    <col min="10" max="16384" width="11.5546875" style="5"/>
  </cols>
  <sheetData>
    <row r="1" spans="1:5" s="4" customFormat="1" ht="34.5" customHeight="1" x14ac:dyDescent="0.3">
      <c r="A1" s="122" t="s">
        <v>18</v>
      </c>
      <c r="B1" s="122"/>
      <c r="D1" s="122"/>
      <c r="E1" s="122"/>
    </row>
    <row r="3" spans="1:5" x14ac:dyDescent="0.3">
      <c r="A3" s="5" t="s">
        <v>11</v>
      </c>
      <c r="B3" s="5">
        <f>COUNTIF(LOP!$I$8:$I$1048576,A3)</f>
        <v>0</v>
      </c>
    </row>
    <row r="4" spans="1:5" x14ac:dyDescent="0.3">
      <c r="A4" s="5" t="s">
        <v>12</v>
      </c>
      <c r="B4" s="5">
        <f>COUNTIF(LOP!$I$8:$I$1048576,A4)</f>
        <v>43</v>
      </c>
    </row>
    <row r="5" spans="1:5" x14ac:dyDescent="0.3">
      <c r="A5" s="5" t="s">
        <v>13</v>
      </c>
      <c r="B5" s="5">
        <f>COUNTIF(LOP!$I$8:$I$1048576,A5)</f>
        <v>0</v>
      </c>
    </row>
    <row r="6" spans="1:5" x14ac:dyDescent="0.3">
      <c r="A6" s="5" t="s">
        <v>14</v>
      </c>
      <c r="B6" s="5">
        <f>COUNTIF(LOP!$I$8:$I$1048576,A6)</f>
        <v>0</v>
      </c>
    </row>
    <row r="11" spans="1:5" ht="93.6" x14ac:dyDescent="0.3">
      <c r="A11" s="99" t="s">
        <v>47</v>
      </c>
    </row>
  </sheetData>
  <mergeCells count="2">
    <mergeCell ref="D1:E1"/>
    <mergeCell ref="A1:B1"/>
  </mergeCells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F0194-7031-4956-9662-644A65D26BBD}">
  <sheetPr codeName="tb_Change"/>
  <dimension ref="A1:C38"/>
  <sheetViews>
    <sheetView workbookViewId="0">
      <selection activeCell="F10" sqref="F10"/>
    </sheetView>
  </sheetViews>
  <sheetFormatPr defaultColWidth="11.5546875" defaultRowHeight="15.6" x14ac:dyDescent="0.3"/>
  <cols>
    <col min="1" max="1" width="14.6640625" style="21" customWidth="1"/>
    <col min="2" max="2" width="65" style="5" customWidth="1"/>
    <col min="3" max="3" width="23.109375" style="5" customWidth="1"/>
    <col min="4" max="16384" width="11.5546875" style="5"/>
  </cols>
  <sheetData>
    <row r="1" spans="1:3" s="8" customFormat="1" ht="54" customHeight="1" x14ac:dyDescent="0.3">
      <c r="A1" s="6" t="s">
        <v>15</v>
      </c>
      <c r="B1" s="7"/>
      <c r="C1" s="106"/>
    </row>
    <row r="2" spans="1:3" s="11" customFormat="1" x14ac:dyDescent="0.3">
      <c r="A2" s="9" t="s">
        <v>16</v>
      </c>
      <c r="B2" s="10" t="s">
        <v>5</v>
      </c>
      <c r="C2" s="10" t="s">
        <v>17</v>
      </c>
    </row>
    <row r="3" spans="1:3" x14ac:dyDescent="0.3">
      <c r="A3" s="12">
        <v>46295.000011574077</v>
      </c>
      <c r="B3" s="13" t="s">
        <v>169</v>
      </c>
      <c r="C3" s="13" t="s">
        <v>170</v>
      </c>
    </row>
    <row r="4" spans="1:3" x14ac:dyDescent="0.3">
      <c r="A4" s="14"/>
      <c r="B4" s="15"/>
      <c r="C4" s="15"/>
    </row>
    <row r="5" spans="1:3" x14ac:dyDescent="0.3">
      <c r="A5" s="14"/>
      <c r="B5" s="15"/>
      <c r="C5" s="15"/>
    </row>
    <row r="6" spans="1:3" x14ac:dyDescent="0.3">
      <c r="A6" s="14"/>
      <c r="B6" s="16"/>
      <c r="C6" s="15"/>
    </row>
    <row r="7" spans="1:3" x14ac:dyDescent="0.3">
      <c r="A7" s="14"/>
      <c r="B7" s="16"/>
      <c r="C7" s="15"/>
    </row>
    <row r="8" spans="1:3" x14ac:dyDescent="0.3">
      <c r="A8" s="14"/>
      <c r="B8" s="17"/>
      <c r="C8" s="15"/>
    </row>
    <row r="9" spans="1:3" x14ac:dyDescent="0.3">
      <c r="A9" s="14"/>
      <c r="B9" s="16"/>
      <c r="C9" s="15"/>
    </row>
    <row r="10" spans="1:3" x14ac:dyDescent="0.3">
      <c r="A10" s="14"/>
      <c r="B10" s="15"/>
      <c r="C10" s="15"/>
    </row>
    <row r="11" spans="1:3" x14ac:dyDescent="0.3">
      <c r="A11" s="14"/>
      <c r="B11" s="15"/>
      <c r="C11" s="15"/>
    </row>
    <row r="12" spans="1:3" x14ac:dyDescent="0.3">
      <c r="A12" s="18"/>
      <c r="B12" s="15"/>
      <c r="C12" s="15"/>
    </row>
    <row r="13" spans="1:3" x14ac:dyDescent="0.3">
      <c r="A13" s="18"/>
      <c r="B13" s="15"/>
      <c r="C13" s="15"/>
    </row>
    <row r="14" spans="1:3" x14ac:dyDescent="0.3">
      <c r="A14" s="18"/>
      <c r="B14" s="15"/>
      <c r="C14" s="15"/>
    </row>
    <row r="15" spans="1:3" x14ac:dyDescent="0.3">
      <c r="A15" s="18"/>
      <c r="B15" s="15"/>
      <c r="C15" s="15"/>
    </row>
    <row r="16" spans="1:3" x14ac:dyDescent="0.3">
      <c r="A16" s="18"/>
      <c r="B16" s="15"/>
      <c r="C16" s="15"/>
    </row>
    <row r="17" spans="1:3" x14ac:dyDescent="0.3">
      <c r="A17" s="18"/>
      <c r="B17" s="15"/>
      <c r="C17" s="15"/>
    </row>
    <row r="18" spans="1:3" x14ac:dyDescent="0.3">
      <c r="A18" s="18"/>
      <c r="B18" s="15"/>
      <c r="C18" s="15"/>
    </row>
    <row r="19" spans="1:3" x14ac:dyDescent="0.3">
      <c r="A19" s="18"/>
      <c r="B19" s="15"/>
      <c r="C19" s="15"/>
    </row>
    <row r="20" spans="1:3" x14ac:dyDescent="0.3">
      <c r="A20" s="18"/>
      <c r="B20" s="15"/>
      <c r="C20" s="15"/>
    </row>
    <row r="21" spans="1:3" x14ac:dyDescent="0.3">
      <c r="A21" s="18"/>
      <c r="B21" s="15"/>
      <c r="C21" s="15"/>
    </row>
    <row r="22" spans="1:3" x14ac:dyDescent="0.3">
      <c r="A22" s="18"/>
      <c r="B22" s="15"/>
      <c r="C22" s="15"/>
    </row>
    <row r="23" spans="1:3" x14ac:dyDescent="0.3">
      <c r="A23" s="18"/>
      <c r="B23" s="15"/>
      <c r="C23" s="15"/>
    </row>
    <row r="24" spans="1:3" x14ac:dyDescent="0.3">
      <c r="A24" s="18"/>
      <c r="B24" s="15"/>
      <c r="C24" s="15"/>
    </row>
    <row r="25" spans="1:3" x14ac:dyDescent="0.3">
      <c r="A25" s="18"/>
      <c r="B25" s="15"/>
      <c r="C25" s="15"/>
    </row>
    <row r="26" spans="1:3" x14ac:dyDescent="0.3">
      <c r="A26" s="18"/>
      <c r="B26" s="15"/>
      <c r="C26" s="15"/>
    </row>
    <row r="27" spans="1:3" x14ac:dyDescent="0.3">
      <c r="A27" s="18"/>
      <c r="B27" s="15"/>
      <c r="C27" s="15"/>
    </row>
    <row r="28" spans="1:3" x14ac:dyDescent="0.3">
      <c r="A28" s="18"/>
      <c r="B28" s="15"/>
      <c r="C28" s="15"/>
    </row>
    <row r="29" spans="1:3" x14ac:dyDescent="0.3">
      <c r="A29" s="18"/>
      <c r="B29" s="15"/>
      <c r="C29" s="15"/>
    </row>
    <row r="30" spans="1:3" x14ac:dyDescent="0.3">
      <c r="A30" s="18"/>
      <c r="B30" s="15"/>
      <c r="C30" s="15"/>
    </row>
    <row r="31" spans="1:3" x14ac:dyDescent="0.3">
      <c r="A31" s="18"/>
      <c r="B31" s="15"/>
      <c r="C31" s="15"/>
    </row>
    <row r="32" spans="1:3" x14ac:dyDescent="0.3">
      <c r="A32" s="18"/>
      <c r="B32" s="15"/>
      <c r="C32" s="15"/>
    </row>
    <row r="33" spans="1:3" x14ac:dyDescent="0.3">
      <c r="A33" s="18"/>
      <c r="B33" s="15"/>
      <c r="C33" s="15"/>
    </row>
    <row r="34" spans="1:3" x14ac:dyDescent="0.3">
      <c r="A34" s="18"/>
      <c r="B34" s="15"/>
      <c r="C34" s="15"/>
    </row>
    <row r="35" spans="1:3" x14ac:dyDescent="0.3">
      <c r="A35" s="18"/>
      <c r="B35" s="15"/>
      <c r="C35" s="15"/>
    </row>
    <row r="36" spans="1:3" x14ac:dyDescent="0.3">
      <c r="A36" s="18"/>
      <c r="B36" s="15"/>
      <c r="C36" s="15"/>
    </row>
    <row r="37" spans="1:3" x14ac:dyDescent="0.3">
      <c r="A37" s="18"/>
      <c r="B37" s="15"/>
      <c r="C37" s="15"/>
    </row>
    <row r="38" spans="1:3" x14ac:dyDescent="0.3">
      <c r="A38" s="19"/>
      <c r="B38" s="20"/>
      <c r="C38" s="20"/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11DDF-E388-45D6-927F-C404F6FAB845}">
  <sheetPr codeName="Tabelle3"/>
  <dimension ref="A1:C20"/>
  <sheetViews>
    <sheetView workbookViewId="0">
      <selection activeCell="F31" sqref="F31"/>
    </sheetView>
  </sheetViews>
  <sheetFormatPr defaultColWidth="11.44140625" defaultRowHeight="14.4" x14ac:dyDescent="0.3"/>
  <cols>
    <col min="1" max="1" width="23.44140625" style="63" customWidth="1"/>
    <col min="2" max="2" width="19" style="63" customWidth="1"/>
    <col min="3" max="3" width="23.33203125" style="64" customWidth="1"/>
    <col min="4" max="4" width="12.33203125" style="63" customWidth="1"/>
    <col min="5" max="16384" width="11.44140625" style="63"/>
  </cols>
  <sheetData>
    <row r="1" spans="1:3" s="65" customFormat="1" ht="33.75" customHeight="1" x14ac:dyDescent="0.3">
      <c r="A1" s="88" t="s">
        <v>31</v>
      </c>
      <c r="B1" s="66" t="s">
        <v>30</v>
      </c>
      <c r="C1" s="87" t="s">
        <v>32</v>
      </c>
    </row>
    <row r="2" spans="1:3" x14ac:dyDescent="0.3">
      <c r="A2" s="67"/>
      <c r="B2" s="67"/>
      <c r="C2" s="68"/>
    </row>
    <row r="3" spans="1:3" x14ac:dyDescent="0.3">
      <c r="A3" s="67"/>
      <c r="B3" s="67"/>
      <c r="C3" s="68"/>
    </row>
    <row r="4" spans="1:3" x14ac:dyDescent="0.3">
      <c r="A4" s="67"/>
      <c r="B4" s="67"/>
      <c r="C4" s="68"/>
    </row>
    <row r="5" spans="1:3" x14ac:dyDescent="0.3">
      <c r="A5" s="67"/>
      <c r="B5" s="67"/>
      <c r="C5" s="68"/>
    </row>
    <row r="6" spans="1:3" x14ac:dyDescent="0.3">
      <c r="A6" s="67"/>
      <c r="B6" s="67"/>
      <c r="C6" s="68"/>
    </row>
    <row r="7" spans="1:3" x14ac:dyDescent="0.3">
      <c r="A7" s="67"/>
      <c r="B7" s="67"/>
      <c r="C7" s="68"/>
    </row>
    <row r="8" spans="1:3" x14ac:dyDescent="0.3">
      <c r="A8" s="67"/>
      <c r="B8" s="67"/>
      <c r="C8" s="68"/>
    </row>
    <row r="9" spans="1:3" x14ac:dyDescent="0.3">
      <c r="A9" s="67"/>
      <c r="B9" s="67"/>
      <c r="C9" s="69"/>
    </row>
    <row r="10" spans="1:3" x14ac:dyDescent="0.3">
      <c r="A10" s="67"/>
      <c r="B10" s="67"/>
      <c r="C10" s="68"/>
    </row>
    <row r="11" spans="1:3" x14ac:dyDescent="0.3">
      <c r="A11" s="67"/>
      <c r="B11" s="67"/>
      <c r="C11" s="68"/>
    </row>
    <row r="12" spans="1:3" x14ac:dyDescent="0.3">
      <c r="A12" s="67"/>
      <c r="B12" s="67"/>
      <c r="C12" s="68"/>
    </row>
    <row r="13" spans="1:3" x14ac:dyDescent="0.3">
      <c r="A13" s="67"/>
      <c r="B13" s="67"/>
      <c r="C13" s="68"/>
    </row>
    <row r="14" spans="1:3" x14ac:dyDescent="0.3">
      <c r="A14" s="67"/>
      <c r="B14" s="67"/>
      <c r="C14" s="68"/>
    </row>
    <row r="15" spans="1:3" x14ac:dyDescent="0.3">
      <c r="A15" s="67"/>
      <c r="B15" s="67"/>
      <c r="C15" s="68"/>
    </row>
    <row r="16" spans="1:3" x14ac:dyDescent="0.3">
      <c r="A16" s="67"/>
      <c r="B16" s="67"/>
      <c r="C16" s="68"/>
    </row>
    <row r="17" spans="1:3" x14ac:dyDescent="0.3">
      <c r="A17" s="67"/>
      <c r="B17" s="67"/>
      <c r="C17" s="68"/>
    </row>
    <row r="18" spans="1:3" x14ac:dyDescent="0.3">
      <c r="A18" s="67"/>
      <c r="B18" s="67"/>
      <c r="C18" s="68"/>
    </row>
    <row r="19" spans="1:3" x14ac:dyDescent="0.3">
      <c r="A19" s="67"/>
      <c r="B19" s="67"/>
      <c r="C19" s="68"/>
    </row>
    <row r="20" spans="1:3" x14ac:dyDescent="0.3">
      <c r="A20" s="67"/>
      <c r="B20" s="67"/>
      <c r="C20" s="68"/>
    </row>
  </sheetData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2E4F83-2B82-4771-8BA7-EC6549395A5A}">
  <sheetPr codeName="Tabelle1"/>
  <dimension ref="A1:D210"/>
  <sheetViews>
    <sheetView zoomScale="85" zoomScaleNormal="85" workbookViewId="0">
      <selection activeCell="D10" sqref="D10"/>
    </sheetView>
  </sheetViews>
  <sheetFormatPr defaultColWidth="11.44140625" defaultRowHeight="14.4" x14ac:dyDescent="0.3"/>
  <cols>
    <col min="1" max="1" width="35.33203125" style="67" customWidth="1"/>
    <col min="2" max="2" width="73.33203125" style="90" customWidth="1"/>
    <col min="3" max="3" width="68.6640625" style="89" customWidth="1"/>
    <col min="4" max="4" width="64.6640625" style="67" customWidth="1"/>
    <col min="5" max="16384" width="11.44140625" style="67"/>
  </cols>
  <sheetData>
    <row r="1" spans="1:4" ht="31.5" customHeight="1" x14ac:dyDescent="0.3">
      <c r="A1" s="125" t="s">
        <v>41</v>
      </c>
      <c r="B1" s="125"/>
      <c r="C1" s="125"/>
    </row>
    <row r="2" spans="1:4" ht="20.100000000000001" customHeight="1" x14ac:dyDescent="0.3">
      <c r="A2" s="127"/>
      <c r="B2" s="132" t="s">
        <v>33</v>
      </c>
    </row>
    <row r="3" spans="1:4" ht="20.100000000000001" customHeight="1" x14ac:dyDescent="0.3">
      <c r="A3" s="128"/>
      <c r="B3" s="131"/>
    </row>
    <row r="4" spans="1:4" ht="20.100000000000001" customHeight="1" x14ac:dyDescent="0.3">
      <c r="A4" s="123"/>
      <c r="B4" s="124" t="s">
        <v>34</v>
      </c>
      <c r="C4" s="129"/>
    </row>
    <row r="5" spans="1:4" ht="20.100000000000001" customHeight="1" x14ac:dyDescent="0.3">
      <c r="A5" s="128"/>
      <c r="B5" s="131"/>
      <c r="C5" s="130"/>
    </row>
    <row r="6" spans="1:4" ht="131.25" customHeight="1" x14ac:dyDescent="0.3">
      <c r="A6" s="94"/>
      <c r="B6" s="95" t="s">
        <v>40</v>
      </c>
      <c r="C6" s="96" t="s">
        <v>36</v>
      </c>
      <c r="D6" s="68"/>
    </row>
    <row r="7" spans="1:4" ht="20.100000000000001" customHeight="1" x14ac:dyDescent="0.3">
      <c r="A7" s="123"/>
      <c r="B7" s="124" t="s">
        <v>35</v>
      </c>
    </row>
    <row r="8" spans="1:4" ht="47.25" customHeight="1" x14ac:dyDescent="0.3">
      <c r="A8" s="123"/>
      <c r="B8" s="124"/>
    </row>
    <row r="9" spans="1:4" ht="20.100000000000001" customHeight="1" x14ac:dyDescent="0.3">
      <c r="A9" s="123"/>
      <c r="B9" s="124" t="s">
        <v>37</v>
      </c>
      <c r="C9" s="126" t="s">
        <v>44</v>
      </c>
    </row>
    <row r="10" spans="1:4" ht="36.75" customHeight="1" x14ac:dyDescent="0.3">
      <c r="A10" s="123"/>
      <c r="B10" s="124"/>
      <c r="C10" s="126"/>
    </row>
    <row r="11" spans="1:4" ht="20.100000000000001" customHeight="1" x14ac:dyDescent="0.3">
      <c r="A11" s="123"/>
      <c r="B11" s="124" t="s">
        <v>38</v>
      </c>
    </row>
    <row r="12" spans="1:4" ht="20.100000000000001" customHeight="1" x14ac:dyDescent="0.3">
      <c r="A12" s="123"/>
      <c r="B12" s="124"/>
    </row>
    <row r="13" spans="1:4" ht="103.5" customHeight="1" x14ac:dyDescent="0.3">
      <c r="A13" s="97"/>
      <c r="B13" s="92" t="s">
        <v>39</v>
      </c>
    </row>
    <row r="14" spans="1:4" ht="31.5" customHeight="1" x14ac:dyDescent="0.3">
      <c r="A14" s="125" t="s">
        <v>42</v>
      </c>
      <c r="B14" s="125"/>
      <c r="C14" s="125"/>
    </row>
    <row r="15" spans="1:4" ht="37.5" customHeight="1" x14ac:dyDescent="0.3">
      <c r="A15" s="94"/>
      <c r="B15" s="98" t="s">
        <v>43</v>
      </c>
    </row>
    <row r="16" spans="1:4" ht="43.5" customHeight="1" x14ac:dyDescent="0.3">
      <c r="A16" s="93"/>
      <c r="B16" s="91" t="s">
        <v>45</v>
      </c>
    </row>
    <row r="17" spans="1:2" ht="108" customHeight="1" x14ac:dyDescent="0.3">
      <c r="A17" s="93"/>
      <c r="B17" s="91" t="s">
        <v>46</v>
      </c>
    </row>
    <row r="18" spans="1:2" ht="20.100000000000001" customHeight="1" x14ac:dyDescent="0.3"/>
    <row r="19" spans="1:2" ht="20.100000000000001" customHeight="1" x14ac:dyDescent="0.3"/>
    <row r="20" spans="1:2" ht="20.100000000000001" customHeight="1" x14ac:dyDescent="0.3"/>
    <row r="21" spans="1:2" ht="20.100000000000001" customHeight="1" x14ac:dyDescent="0.3"/>
    <row r="22" spans="1:2" ht="20.100000000000001" customHeight="1" x14ac:dyDescent="0.3"/>
    <row r="23" spans="1:2" ht="20.100000000000001" customHeight="1" x14ac:dyDescent="0.3"/>
    <row r="24" spans="1:2" ht="20.100000000000001" customHeight="1" x14ac:dyDescent="0.3"/>
    <row r="25" spans="1:2" ht="20.100000000000001" customHeight="1" x14ac:dyDescent="0.3"/>
    <row r="26" spans="1:2" ht="20.100000000000001" customHeight="1" x14ac:dyDescent="0.3"/>
    <row r="27" spans="1:2" ht="20.100000000000001" customHeight="1" x14ac:dyDescent="0.3"/>
    <row r="28" spans="1:2" ht="20.100000000000001" customHeight="1" x14ac:dyDescent="0.3"/>
    <row r="29" spans="1:2" ht="20.100000000000001" customHeight="1" x14ac:dyDescent="0.3"/>
    <row r="30" spans="1:2" ht="20.100000000000001" customHeight="1" x14ac:dyDescent="0.3"/>
    <row r="31" spans="1:2" ht="20.100000000000001" customHeight="1" x14ac:dyDescent="0.3"/>
    <row r="32" spans="1:2" ht="20.100000000000001" customHeight="1" x14ac:dyDescent="0.3"/>
    <row r="33" ht="20.100000000000001" customHeight="1" x14ac:dyDescent="0.3"/>
    <row r="34" ht="20.100000000000001" customHeight="1" x14ac:dyDescent="0.3"/>
    <row r="35" ht="20.100000000000001" customHeight="1" x14ac:dyDescent="0.3"/>
    <row r="36" ht="20.100000000000001" customHeight="1" x14ac:dyDescent="0.3"/>
    <row r="37" ht="20.100000000000001" customHeight="1" x14ac:dyDescent="0.3"/>
    <row r="38" ht="20.100000000000001" customHeight="1" x14ac:dyDescent="0.3"/>
    <row r="39" ht="20.100000000000001" customHeight="1" x14ac:dyDescent="0.3"/>
    <row r="40" ht="20.100000000000001" customHeight="1" x14ac:dyDescent="0.3"/>
    <row r="41" ht="20.100000000000001" customHeight="1" x14ac:dyDescent="0.3"/>
    <row r="42" ht="20.100000000000001" customHeight="1" x14ac:dyDescent="0.3"/>
    <row r="43" ht="20.100000000000001" customHeight="1" x14ac:dyDescent="0.3"/>
    <row r="44" ht="20.100000000000001" customHeight="1" x14ac:dyDescent="0.3"/>
    <row r="45" ht="20.100000000000001" customHeight="1" x14ac:dyDescent="0.3"/>
    <row r="46" ht="20.100000000000001" customHeight="1" x14ac:dyDescent="0.3"/>
    <row r="47" ht="20.100000000000001" customHeight="1" x14ac:dyDescent="0.3"/>
    <row r="48" ht="20.100000000000001" customHeight="1" x14ac:dyDescent="0.3"/>
    <row r="49" ht="20.100000000000001" customHeight="1" x14ac:dyDescent="0.3"/>
    <row r="50" ht="20.100000000000001" customHeight="1" x14ac:dyDescent="0.3"/>
    <row r="51" ht="20.100000000000001" customHeight="1" x14ac:dyDescent="0.3"/>
    <row r="52" ht="20.100000000000001" customHeight="1" x14ac:dyDescent="0.3"/>
    <row r="53" ht="20.100000000000001" customHeight="1" x14ac:dyDescent="0.3"/>
    <row r="54" ht="20.100000000000001" customHeight="1" x14ac:dyDescent="0.3"/>
    <row r="55" ht="20.100000000000001" customHeight="1" x14ac:dyDescent="0.3"/>
    <row r="56" ht="20.100000000000001" customHeight="1" x14ac:dyDescent="0.3"/>
    <row r="57" ht="20.100000000000001" customHeight="1" x14ac:dyDescent="0.3"/>
    <row r="58" ht="20.100000000000001" customHeight="1" x14ac:dyDescent="0.3"/>
    <row r="59" ht="20.100000000000001" customHeight="1" x14ac:dyDescent="0.3"/>
    <row r="60" ht="20.100000000000001" customHeight="1" x14ac:dyDescent="0.3"/>
    <row r="61" ht="20.100000000000001" customHeight="1" x14ac:dyDescent="0.3"/>
    <row r="62" ht="20.100000000000001" customHeight="1" x14ac:dyDescent="0.3"/>
    <row r="63" ht="20.100000000000001" customHeight="1" x14ac:dyDescent="0.3"/>
    <row r="64" ht="20.100000000000001" customHeight="1" x14ac:dyDescent="0.3"/>
    <row r="65" ht="20.100000000000001" customHeight="1" x14ac:dyDescent="0.3"/>
    <row r="66" ht="20.100000000000001" customHeight="1" x14ac:dyDescent="0.3"/>
    <row r="67" ht="20.100000000000001" customHeight="1" x14ac:dyDescent="0.3"/>
    <row r="68" ht="20.100000000000001" customHeight="1" x14ac:dyDescent="0.3"/>
    <row r="69" ht="20.100000000000001" customHeight="1" x14ac:dyDescent="0.3"/>
    <row r="70" ht="20.100000000000001" customHeight="1" x14ac:dyDescent="0.3"/>
    <row r="71" ht="20.100000000000001" customHeight="1" x14ac:dyDescent="0.3"/>
    <row r="72" ht="20.100000000000001" customHeight="1" x14ac:dyDescent="0.3"/>
    <row r="73" ht="20.100000000000001" customHeight="1" x14ac:dyDescent="0.3"/>
    <row r="74" ht="20.100000000000001" customHeight="1" x14ac:dyDescent="0.3"/>
    <row r="75" ht="20.100000000000001" customHeight="1" x14ac:dyDescent="0.3"/>
    <row r="76" ht="20.100000000000001" customHeight="1" x14ac:dyDescent="0.3"/>
    <row r="77" ht="20.100000000000001" customHeight="1" x14ac:dyDescent="0.3"/>
    <row r="78" ht="20.100000000000001" customHeight="1" x14ac:dyDescent="0.3"/>
    <row r="79" ht="20.100000000000001" customHeight="1" x14ac:dyDescent="0.3"/>
    <row r="80" ht="20.100000000000001" customHeight="1" x14ac:dyDescent="0.3"/>
    <row r="81" ht="20.100000000000001" customHeight="1" x14ac:dyDescent="0.3"/>
    <row r="82" ht="20.100000000000001" customHeight="1" x14ac:dyDescent="0.3"/>
    <row r="83" ht="20.100000000000001" customHeight="1" x14ac:dyDescent="0.3"/>
    <row r="84" ht="20.100000000000001" customHeight="1" x14ac:dyDescent="0.3"/>
    <row r="85" ht="20.100000000000001" customHeight="1" x14ac:dyDescent="0.3"/>
    <row r="86" ht="20.100000000000001" customHeight="1" x14ac:dyDescent="0.3"/>
    <row r="87" ht="20.100000000000001" customHeight="1" x14ac:dyDescent="0.3"/>
    <row r="88" ht="20.100000000000001" customHeight="1" x14ac:dyDescent="0.3"/>
    <row r="89" ht="20.100000000000001" customHeight="1" x14ac:dyDescent="0.3"/>
    <row r="90" ht="20.100000000000001" customHeight="1" x14ac:dyDescent="0.3"/>
    <row r="91" ht="20.100000000000001" customHeight="1" x14ac:dyDescent="0.3"/>
    <row r="92" ht="20.100000000000001" customHeight="1" x14ac:dyDescent="0.3"/>
    <row r="93" ht="20.100000000000001" customHeight="1" x14ac:dyDescent="0.3"/>
    <row r="94" ht="20.100000000000001" customHeight="1" x14ac:dyDescent="0.3"/>
    <row r="95" ht="20.100000000000001" customHeight="1" x14ac:dyDescent="0.3"/>
    <row r="96" ht="20.100000000000001" customHeight="1" x14ac:dyDescent="0.3"/>
    <row r="97" ht="20.100000000000001" customHeight="1" x14ac:dyDescent="0.3"/>
    <row r="98" ht="20.100000000000001" customHeight="1" x14ac:dyDescent="0.3"/>
    <row r="99" ht="20.100000000000001" customHeight="1" x14ac:dyDescent="0.3"/>
    <row r="100" ht="20.100000000000001" customHeight="1" x14ac:dyDescent="0.3"/>
    <row r="101" ht="20.100000000000001" customHeight="1" x14ac:dyDescent="0.3"/>
    <row r="102" ht="20.100000000000001" customHeight="1" x14ac:dyDescent="0.3"/>
    <row r="103" ht="20.100000000000001" customHeight="1" x14ac:dyDescent="0.3"/>
    <row r="104" ht="20.100000000000001" customHeight="1" x14ac:dyDescent="0.3"/>
    <row r="105" ht="20.100000000000001" customHeight="1" x14ac:dyDescent="0.3"/>
    <row r="106" ht="20.100000000000001" customHeight="1" x14ac:dyDescent="0.3"/>
    <row r="107" ht="20.100000000000001" customHeight="1" x14ac:dyDescent="0.3"/>
    <row r="108" ht="20.100000000000001" customHeight="1" x14ac:dyDescent="0.3"/>
    <row r="109" ht="20.100000000000001" customHeight="1" x14ac:dyDescent="0.3"/>
    <row r="110" ht="20.100000000000001" customHeight="1" x14ac:dyDescent="0.3"/>
    <row r="111" ht="20.100000000000001" customHeight="1" x14ac:dyDescent="0.3"/>
    <row r="112" ht="20.100000000000001" customHeight="1" x14ac:dyDescent="0.3"/>
    <row r="113" ht="20.100000000000001" customHeight="1" x14ac:dyDescent="0.3"/>
    <row r="114" ht="20.100000000000001" customHeight="1" x14ac:dyDescent="0.3"/>
    <row r="115" ht="20.100000000000001" customHeight="1" x14ac:dyDescent="0.3"/>
    <row r="116" ht="20.100000000000001" customHeight="1" x14ac:dyDescent="0.3"/>
    <row r="117" ht="20.100000000000001" customHeight="1" x14ac:dyDescent="0.3"/>
    <row r="118" ht="20.100000000000001" customHeight="1" x14ac:dyDescent="0.3"/>
    <row r="119" ht="20.100000000000001" customHeight="1" x14ac:dyDescent="0.3"/>
    <row r="120" ht="20.100000000000001" customHeight="1" x14ac:dyDescent="0.3"/>
    <row r="121" ht="20.100000000000001" customHeight="1" x14ac:dyDescent="0.3"/>
    <row r="122" ht="20.100000000000001" customHeight="1" x14ac:dyDescent="0.3"/>
    <row r="123" ht="20.100000000000001" customHeight="1" x14ac:dyDescent="0.3"/>
    <row r="124" ht="20.100000000000001" customHeight="1" x14ac:dyDescent="0.3"/>
    <row r="125" ht="20.100000000000001" customHeight="1" x14ac:dyDescent="0.3"/>
    <row r="126" ht="20.100000000000001" customHeight="1" x14ac:dyDescent="0.3"/>
    <row r="127" ht="20.100000000000001" customHeight="1" x14ac:dyDescent="0.3"/>
    <row r="128" ht="20.100000000000001" customHeight="1" x14ac:dyDescent="0.3"/>
    <row r="129" ht="20.100000000000001" customHeight="1" x14ac:dyDescent="0.3"/>
    <row r="130" ht="20.100000000000001" customHeight="1" x14ac:dyDescent="0.3"/>
    <row r="131" ht="20.100000000000001" customHeight="1" x14ac:dyDescent="0.3"/>
    <row r="132" ht="20.100000000000001" customHeight="1" x14ac:dyDescent="0.3"/>
    <row r="133" ht="20.100000000000001" customHeight="1" x14ac:dyDescent="0.3"/>
    <row r="134" ht="20.100000000000001" customHeight="1" x14ac:dyDescent="0.3"/>
    <row r="135" ht="20.100000000000001" customHeight="1" x14ac:dyDescent="0.3"/>
    <row r="136" ht="20.100000000000001" customHeight="1" x14ac:dyDescent="0.3"/>
    <row r="137" ht="20.100000000000001" customHeight="1" x14ac:dyDescent="0.3"/>
    <row r="138" ht="20.100000000000001" customHeight="1" x14ac:dyDescent="0.3"/>
    <row r="139" ht="20.100000000000001" customHeight="1" x14ac:dyDescent="0.3"/>
    <row r="140" ht="20.100000000000001" customHeight="1" x14ac:dyDescent="0.3"/>
    <row r="141" ht="20.100000000000001" customHeight="1" x14ac:dyDescent="0.3"/>
    <row r="142" ht="20.100000000000001" customHeight="1" x14ac:dyDescent="0.3"/>
    <row r="143" ht="20.100000000000001" customHeight="1" x14ac:dyDescent="0.3"/>
    <row r="144" ht="20.100000000000001" customHeight="1" x14ac:dyDescent="0.3"/>
    <row r="145" ht="20.100000000000001" customHeight="1" x14ac:dyDescent="0.3"/>
    <row r="146" ht="20.100000000000001" customHeight="1" x14ac:dyDescent="0.3"/>
    <row r="147" ht="20.100000000000001" customHeight="1" x14ac:dyDescent="0.3"/>
    <row r="148" ht="20.100000000000001" customHeight="1" x14ac:dyDescent="0.3"/>
    <row r="149" ht="20.100000000000001" customHeight="1" x14ac:dyDescent="0.3"/>
    <row r="150" ht="20.100000000000001" customHeight="1" x14ac:dyDescent="0.3"/>
    <row r="151" ht="20.100000000000001" customHeight="1" x14ac:dyDescent="0.3"/>
    <row r="152" ht="20.100000000000001" customHeight="1" x14ac:dyDescent="0.3"/>
    <row r="153" ht="20.100000000000001" customHeight="1" x14ac:dyDescent="0.3"/>
    <row r="154" ht="20.100000000000001" customHeight="1" x14ac:dyDescent="0.3"/>
    <row r="155" ht="20.100000000000001" customHeight="1" x14ac:dyDescent="0.3"/>
    <row r="156" ht="20.100000000000001" customHeight="1" x14ac:dyDescent="0.3"/>
    <row r="157" ht="20.100000000000001" customHeight="1" x14ac:dyDescent="0.3"/>
    <row r="158" ht="20.100000000000001" customHeight="1" x14ac:dyDescent="0.3"/>
    <row r="159" ht="20.100000000000001" customHeight="1" x14ac:dyDescent="0.3"/>
    <row r="160" ht="20.100000000000001" customHeight="1" x14ac:dyDescent="0.3"/>
    <row r="161" ht="20.100000000000001" customHeight="1" x14ac:dyDescent="0.3"/>
    <row r="162" ht="20.100000000000001" customHeight="1" x14ac:dyDescent="0.3"/>
    <row r="163" ht="20.100000000000001" customHeight="1" x14ac:dyDescent="0.3"/>
    <row r="164" ht="20.100000000000001" customHeight="1" x14ac:dyDescent="0.3"/>
    <row r="165" ht="20.100000000000001" customHeight="1" x14ac:dyDescent="0.3"/>
    <row r="166" ht="20.100000000000001" customHeight="1" x14ac:dyDescent="0.3"/>
    <row r="167" ht="20.100000000000001" customHeight="1" x14ac:dyDescent="0.3"/>
    <row r="168" ht="20.100000000000001" customHeight="1" x14ac:dyDescent="0.3"/>
    <row r="169" ht="20.100000000000001" customHeight="1" x14ac:dyDescent="0.3"/>
    <row r="170" ht="20.100000000000001" customHeight="1" x14ac:dyDescent="0.3"/>
    <row r="171" ht="20.100000000000001" customHeight="1" x14ac:dyDescent="0.3"/>
    <row r="172" ht="20.100000000000001" customHeight="1" x14ac:dyDescent="0.3"/>
    <row r="173" ht="20.100000000000001" customHeight="1" x14ac:dyDescent="0.3"/>
    <row r="174" ht="20.100000000000001" customHeight="1" x14ac:dyDescent="0.3"/>
    <row r="175" ht="20.100000000000001" customHeight="1" x14ac:dyDescent="0.3"/>
    <row r="176" ht="20.100000000000001" customHeight="1" x14ac:dyDescent="0.3"/>
    <row r="177" ht="20.100000000000001" customHeight="1" x14ac:dyDescent="0.3"/>
    <row r="178" ht="20.100000000000001" customHeight="1" x14ac:dyDescent="0.3"/>
    <row r="179" ht="20.100000000000001" customHeight="1" x14ac:dyDescent="0.3"/>
    <row r="180" ht="20.100000000000001" customHeight="1" x14ac:dyDescent="0.3"/>
    <row r="181" ht="20.100000000000001" customHeight="1" x14ac:dyDescent="0.3"/>
    <row r="182" ht="20.100000000000001" customHeight="1" x14ac:dyDescent="0.3"/>
    <row r="183" ht="20.100000000000001" customHeight="1" x14ac:dyDescent="0.3"/>
    <row r="184" ht="20.100000000000001" customHeight="1" x14ac:dyDescent="0.3"/>
    <row r="185" ht="20.100000000000001" customHeight="1" x14ac:dyDescent="0.3"/>
    <row r="186" ht="20.100000000000001" customHeight="1" x14ac:dyDescent="0.3"/>
    <row r="187" ht="20.100000000000001" customHeight="1" x14ac:dyDescent="0.3"/>
    <row r="188" ht="20.100000000000001" customHeight="1" x14ac:dyDescent="0.3"/>
    <row r="189" ht="20.100000000000001" customHeight="1" x14ac:dyDescent="0.3"/>
    <row r="190" ht="20.100000000000001" customHeight="1" x14ac:dyDescent="0.3"/>
    <row r="191" ht="20.100000000000001" customHeight="1" x14ac:dyDescent="0.3"/>
    <row r="192" ht="20.100000000000001" customHeight="1" x14ac:dyDescent="0.3"/>
    <row r="193" ht="20.100000000000001" customHeight="1" x14ac:dyDescent="0.3"/>
    <row r="194" ht="20.100000000000001" customHeight="1" x14ac:dyDescent="0.3"/>
    <row r="195" ht="20.100000000000001" customHeight="1" x14ac:dyDescent="0.3"/>
    <row r="196" ht="20.100000000000001" customHeight="1" x14ac:dyDescent="0.3"/>
    <row r="197" ht="20.100000000000001" customHeight="1" x14ac:dyDescent="0.3"/>
    <row r="198" ht="20.100000000000001" customHeight="1" x14ac:dyDescent="0.3"/>
    <row r="199" ht="20.100000000000001" customHeight="1" x14ac:dyDescent="0.3"/>
    <row r="200" ht="20.100000000000001" customHeight="1" x14ac:dyDescent="0.3"/>
    <row r="201" ht="20.100000000000001" customHeight="1" x14ac:dyDescent="0.3"/>
    <row r="202" ht="20.100000000000001" customHeight="1" x14ac:dyDescent="0.3"/>
    <row r="203" ht="20.100000000000001" customHeight="1" x14ac:dyDescent="0.3"/>
    <row r="204" ht="20.100000000000001" customHeight="1" x14ac:dyDescent="0.3"/>
    <row r="205" ht="20.100000000000001" customHeight="1" x14ac:dyDescent="0.3"/>
    <row r="206" ht="20.100000000000001" customHeight="1" x14ac:dyDescent="0.3"/>
    <row r="207" ht="20.100000000000001" customHeight="1" x14ac:dyDescent="0.3"/>
    <row r="208" ht="20.100000000000001" customHeight="1" x14ac:dyDescent="0.3"/>
    <row r="209" ht="20.100000000000001" customHeight="1" x14ac:dyDescent="0.3"/>
    <row r="210" ht="20.100000000000001" customHeight="1" x14ac:dyDescent="0.3"/>
  </sheetData>
  <mergeCells count="14">
    <mergeCell ref="A11:A12"/>
    <mergeCell ref="B11:B12"/>
    <mergeCell ref="A1:C1"/>
    <mergeCell ref="A14:C14"/>
    <mergeCell ref="C9:C10"/>
    <mergeCell ref="A2:A3"/>
    <mergeCell ref="A4:A5"/>
    <mergeCell ref="A7:A8"/>
    <mergeCell ref="B7:B8"/>
    <mergeCell ref="A9:A10"/>
    <mergeCell ref="B9:B10"/>
    <mergeCell ref="C4:C5"/>
    <mergeCell ref="B4:B5"/>
    <mergeCell ref="B2:B3"/>
  </mergeCells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LOP</vt:lpstr>
      <vt:lpstr>Agenda</vt:lpstr>
      <vt:lpstr>Calculation Sheet</vt:lpstr>
      <vt:lpstr>Changehistory</vt:lpstr>
      <vt:lpstr>Team Vacation planning</vt:lpstr>
      <vt:lpstr>Instructions</vt:lpstr>
      <vt:lpstr>LOP!Print_Area</vt:lpstr>
      <vt:lpstr>LOP!Print_Titles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wolfgang schubert</dc:creator>
  <cp:keywords/>
  <dc:description/>
  <cp:lastModifiedBy>Demmler, Christoph</cp:lastModifiedBy>
  <cp:revision/>
  <cp:lastPrinted>2025-01-09T09:43:59Z</cp:lastPrinted>
  <dcterms:created xsi:type="dcterms:W3CDTF">2023-12-08T16:32:13Z</dcterms:created>
  <dcterms:modified xsi:type="dcterms:W3CDTF">2026-10-01T14:25:30Z</dcterms:modified>
  <cp:category/>
  <cp:contentStatus/>
</cp:coreProperties>
</file>