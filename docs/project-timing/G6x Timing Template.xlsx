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am" sheetId="2" state="visible" r:id="rId2"/>
    <sheet name="Plan" sheetId="3" state="visible" r:id="rId3"/>
    <sheet name="Blocks" sheetId="4" state="visible" r:id="rId4"/>
    <sheet name="Inputs" sheetId="5" state="visible" r:id="rId5"/>
    <sheet name="Holidays" sheetId="6" state="visible" r:id="rId6"/>
    <sheet name="Findings" sheetId="7" state="visible" r:id="rId7"/>
  </sheets>
  <definedNames>
    <definedName name="_xlnm._FilterDatabase" localSheetId="2" hidden="1">'Plan'!$A$1:$L$109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+0;-0;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0000FF"/>
    </font>
    <font>
      <name val="Arial"/>
      <color theme="1"/>
    </font>
    <font>
      <name val="Arial"/>
      <b val="1"/>
    </font>
    <font>
      <name val="Arial"/>
      <i val="1"/>
    </font>
    <font>
      <name val="Arial"/>
      <b val="1"/>
      <color rgb="00008000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165" fontId="7" fillId="3" borderId="1" applyAlignment="1" pivotButton="0" quotePrefix="0" xfId="0">
      <alignment vertical="top"/>
    </xf>
    <xf numFmtId="166" fontId="7" fillId="3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PLM</author>
  </authors>
  <commentList>
    <comment ref="F1" authorId="0" shapeId="0">
      <text>
        <t>Press/trial slot from the press plan. Leave empty and the template plans TH1 as soon as unpack and gauge are done.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G6x Timing Template: standard blocks instead of copy-paste</t>
        </is>
      </c>
    </row>
    <row r="2">
      <c r="A2" s="2" t="inlineStr"/>
    </row>
    <row r="3">
      <c r="A3" s="3" t="inlineStr">
        <is>
          <t>How it works</t>
        </is>
      </c>
    </row>
    <row r="4">
      <c r="A4" s="2" t="inlineStr">
        <is>
          <t>1. Blocks: the standard task sequences (mold launch, mold change, PPAP), with roles, durations and logic. Owned centrally, versioned.</t>
        </is>
      </c>
    </row>
    <row r="5">
      <c r="A5" s="2" t="inlineStr">
        <is>
          <t>2. Team: one role -&gt; person map per project. Blocks never name people.</t>
        </is>
      </c>
    </row>
    <row r="6">
      <c r="A6" s="2" t="inlineStr">
        <is>
          <t>3. Inputs: per mold only press, part numbers, delivery date, gauge validation date and the TH1 trial slot (blue cells).</t>
        </is>
      </c>
    </row>
    <row r="7">
      <c r="A7" s="2" t="inlineStr">
        <is>
          <t>4. Plan: generated from the three sheets above. All dates are formulas: change an input or a duration and everything after it moves.</t>
        </is>
      </c>
    </row>
    <row r="8">
      <c r="A8" s="2" t="inlineStr">
        <is>
          <t>5. Project-specific tasks (customer trials, downtime, payment setup...) are planned by hand on top; they are not in the blocks.</t>
        </is>
      </c>
    </row>
    <row r="9">
      <c r="A9" s="2" t="inlineStr"/>
    </row>
    <row r="10">
      <c r="A10" s="3" t="inlineStr">
        <is>
          <t>Rules</t>
        </is>
      </c>
    </row>
    <row r="11">
      <c r="A11" s="2" t="inlineStr">
        <is>
          <t>- Workdays Mon-Fri; plant holidays go on the Holidays sheet.</t>
        </is>
      </c>
    </row>
    <row r="12">
      <c r="A12" s="2" t="inlineStr">
        <is>
          <t>- Cpk and iPQ elements are checklists on one task, not one row per characteristic / element.</t>
        </is>
      </c>
    </row>
    <row r="13">
      <c r="A13" s="2" t="inlineStr">
        <is>
          <t>- Mold engineering changes are ECRs: plan them in the plm2 change plan; the project shows only their milestones.</t>
        </is>
      </c>
    </row>
    <row r="14">
      <c r="A14" s="2" t="inlineStr">
        <is>
          <t>- 'PM plan' columns hold the dates from G6x Project Timeline (2026-09-30).mpp for comparison; 'Delta' = template finish minus PM finish (calendar days).</t>
        </is>
      </c>
    </row>
    <row r="15">
      <c r="A15" s="2" t="inlineStr"/>
    </row>
    <row r="16">
      <c r="A16" s="2" t="inlineStr">
        <is>
          <t>Colors: blue = input, black = formula, green = pulled from another sheet.</t>
        </is>
      </c>
    </row>
    <row r="17">
      <c r="A17" s="2" t="inlineStr">
        <is>
          <t>Source: G6x Project Timeline (2026-09-30).mpp, PM 1748, read 2026-10-02.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</cols>
  <sheetData>
    <row r="1">
      <c r="A1" s="4" t="inlineStr">
        <is>
          <t>Role</t>
        </is>
      </c>
      <c r="B1" s="4" t="inlineStr">
        <is>
          <t>Person</t>
        </is>
      </c>
      <c r="C1" s="4" t="inlineStr">
        <is>
          <t>Department</t>
        </is>
      </c>
    </row>
    <row r="2">
      <c r="A2" s="5" t="inlineStr">
        <is>
          <t>Program Manager</t>
        </is>
      </c>
      <c r="B2" s="6" t="inlineStr">
        <is>
          <t>Steven Stocks</t>
        </is>
      </c>
      <c r="C2" s="6" t="inlineStr">
        <is>
          <t>Program Mgmt</t>
        </is>
      </c>
    </row>
    <row r="3">
      <c r="A3" s="5" t="inlineStr">
        <is>
          <t>Plant Layout</t>
        </is>
      </c>
      <c r="B3" s="6" t="inlineStr">
        <is>
          <t>Stacy Sexton</t>
        </is>
      </c>
      <c r="C3" s="6" t="inlineStr">
        <is>
          <t>Plant Engineering</t>
        </is>
      </c>
    </row>
    <row r="4">
      <c r="A4" s="5" t="inlineStr">
        <is>
          <t>Toolshop</t>
        </is>
      </c>
      <c r="B4" s="6" t="inlineStr">
        <is>
          <t>Brandon Belk</t>
        </is>
      </c>
      <c r="C4" s="6" t="inlineStr">
        <is>
          <t>Toolshop</t>
        </is>
      </c>
    </row>
    <row r="5">
      <c r="A5" s="5" t="inlineStr">
        <is>
          <t>Gauge / Metrology</t>
        </is>
      </c>
      <c r="B5" s="6" t="inlineStr">
        <is>
          <t>Erica Gibson</t>
        </is>
      </c>
      <c r="C5" s="6" t="inlineStr">
        <is>
          <t>Quality</t>
        </is>
      </c>
    </row>
    <row r="6">
      <c r="A6" s="5" t="inlineStr">
        <is>
          <t>CMM Lab</t>
        </is>
      </c>
      <c r="B6" s="6" t="inlineStr">
        <is>
          <t>Erika Harris</t>
        </is>
      </c>
      <c r="C6" s="6" t="inlineStr">
        <is>
          <t>Quality</t>
        </is>
      </c>
    </row>
    <row r="7">
      <c r="A7" s="5" t="inlineStr">
        <is>
          <t>Trial Lead</t>
        </is>
      </c>
      <c r="B7" s="6" t="inlineStr">
        <is>
          <t>Christopher Holmes</t>
        </is>
      </c>
      <c r="C7" s="6" t="inlineStr">
        <is>
          <t>Process Engineering</t>
        </is>
      </c>
    </row>
    <row r="8">
      <c r="A8" s="5" t="inlineStr">
        <is>
          <t>Process Engineer (WI)</t>
        </is>
      </c>
      <c r="B8" s="6" t="inlineStr">
        <is>
          <t>Scott Damewood</t>
        </is>
      </c>
      <c r="C8" s="6" t="inlineStr">
        <is>
          <t>Process Engineering</t>
        </is>
      </c>
    </row>
    <row r="9">
      <c r="A9" s="5" t="inlineStr">
        <is>
          <t>Packaging</t>
        </is>
      </c>
      <c r="B9" s="6" t="inlineStr">
        <is>
          <t>Kenny Rice</t>
        </is>
      </c>
      <c r="C9" s="6" t="inlineStr">
        <is>
          <t>Logistics</t>
        </is>
      </c>
    </row>
    <row r="10">
      <c r="A10" s="5" t="inlineStr">
        <is>
          <t>Quality Engineer</t>
        </is>
      </c>
      <c r="B10" s="6" t="inlineStr">
        <is>
          <t>Apurva Mhetre</t>
        </is>
      </c>
      <c r="C10" s="6" t="inlineStr">
        <is>
          <t>Quality</t>
        </is>
      </c>
    </row>
    <row r="11">
      <c r="A11" s="5" t="inlineStr">
        <is>
          <t>Production Planning</t>
        </is>
      </c>
      <c r="B11" s="6" t="inlineStr">
        <is>
          <t>Alexa Earls</t>
        </is>
      </c>
      <c r="C11" s="6" t="inlineStr">
        <is>
          <t>Production</t>
        </is>
      </c>
    </row>
    <row r="12">
      <c r="A12" s="5" t="inlineStr">
        <is>
          <t>Doc Control / ERP</t>
        </is>
      </c>
      <c r="B12" s="6" t="inlineStr">
        <is>
          <t>Todd Haynes</t>
        </is>
      </c>
      <c r="C12" s="6" t="inlineStr">
        <is>
          <t>Engineering</t>
        </is>
      </c>
    </row>
    <row r="13">
      <c r="A13" s="5" t="inlineStr">
        <is>
          <t>Tool Engineering</t>
        </is>
      </c>
      <c r="B13" s="6" t="inlineStr">
        <is>
          <t>Matthias Rautzenberg</t>
        </is>
      </c>
      <c r="C13" s="6" t="inlineStr">
        <is>
          <t>Tool Engineering</t>
        </is>
      </c>
    </row>
    <row r="14">
      <c r="A14" s="5" t="inlineStr">
        <is>
          <t>Purchasing</t>
        </is>
      </c>
      <c r="B14" s="6" t="inlineStr">
        <is>
          <t>Candy White</t>
        </is>
      </c>
      <c r="C14" s="6" t="inlineStr">
        <is>
          <t>Purchasing</t>
        </is>
      </c>
    </row>
    <row r="15">
      <c r="A15" s="5" t="inlineStr">
        <is>
          <t>Press / Plant Eng</t>
        </is>
      </c>
      <c r="B15" s="6" t="inlineStr">
        <is>
          <t>Huascar Miranda</t>
        </is>
      </c>
      <c r="C15" s="6" t="inlineStr">
        <is>
          <t>Plant 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22" customWidth="1" min="4" max="4"/>
    <col width="20" customWidth="1" min="5" max="5"/>
    <col width="11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50" customWidth="1" min="12" max="12"/>
  </cols>
  <sheetData>
    <row r="1">
      <c r="A1" s="4" t="inlineStr">
        <is>
          <t>Mold</t>
        </is>
      </c>
      <c r="B1" s="4" t="inlineStr">
        <is>
          <t>Step ID</t>
        </is>
      </c>
      <c r="C1" s="4" t="inlineStr">
        <is>
          <t>Task</t>
        </is>
      </c>
      <c r="D1" s="4" t="inlineStr">
        <is>
          <t>Role</t>
        </is>
      </c>
      <c r="E1" s="4" t="inlineStr">
        <is>
          <t>Person</t>
        </is>
      </c>
      <c r="F1" s="4" t="inlineStr">
        <is>
          <t>Duration (wd)</t>
        </is>
      </c>
      <c r="G1" s="4" t="inlineStr">
        <is>
          <t>Start</t>
        </is>
      </c>
      <c r="H1" s="4" t="inlineStr">
        <is>
          <t>Finish</t>
        </is>
      </c>
      <c r="I1" s="4" t="inlineStr">
        <is>
          <t>PM plan start</t>
        </is>
      </c>
      <c r="J1" s="4" t="inlineStr">
        <is>
          <t>PM plan finish</t>
        </is>
      </c>
      <c r="K1" s="4" t="inlineStr">
        <is>
          <t>Delta finish (days)</t>
        </is>
      </c>
      <c r="L1" s="4" t="inlineStr">
        <is>
          <t>Checklist</t>
        </is>
      </c>
    </row>
    <row r="2">
      <c r="A2" s="7">
        <f>Inputs!A2</f>
        <v/>
      </c>
      <c r="B2" s="8" t="n"/>
      <c r="C2" s="8">
        <f>Inputs!B2&amp;": Mold "&amp;Inputs!A2&amp;" ("&amp;Inputs!C2&amp;")"</f>
        <v/>
      </c>
      <c r="D2" s="8" t="n"/>
      <c r="E2" s="8" t="n"/>
      <c r="F2" s="8" t="n"/>
      <c r="G2" s="9">
        <f>MIN(G3:G13)</f>
        <v/>
      </c>
      <c r="H2" s="9">
        <f>MAX(H3:H13)</f>
        <v/>
      </c>
      <c r="I2" s="9" t="n"/>
      <c r="J2" s="9" t="n"/>
      <c r="K2" s="10" t="n"/>
      <c r="L2" s="8" t="n"/>
    </row>
    <row r="3">
      <c r="A3" s="11">
        <f>Inputs!A2</f>
        <v/>
      </c>
      <c r="B3" s="11">
        <f>Blocks!B3</f>
        <v/>
      </c>
      <c r="C3" s="11">
        <f>Blocks!C3</f>
        <v/>
      </c>
      <c r="D3" s="11">
        <f>Blocks!D3</f>
        <v/>
      </c>
      <c r="E3" s="5">
        <f>IFERROR(INDEX(Team!$B$2:$B$60,MATCH(D3,Team!$A$2:$A$60,0)),"(assign)")</f>
        <v/>
      </c>
      <c r="F3" s="11">
        <f>Blocks!E3</f>
        <v/>
      </c>
      <c r="G3" s="12">
        <f>WORKDAY(G5,-F3,Holidays!$A$2:$A$60)</f>
        <v/>
      </c>
      <c r="H3" s="12">
        <f>IF(F3=0,G3,WORKDAY(G3,F3-1,Holidays!$A$2:$A$60))</f>
        <v/>
      </c>
      <c r="I3" s="12" t="n"/>
      <c r="J3" s="12" t="n"/>
      <c r="K3" s="13" t="n"/>
      <c r="L3" s="11">
        <f>IF(Blocks!H3="","",Blocks!H3)</f>
        <v/>
      </c>
    </row>
    <row r="4">
      <c r="A4" s="11">
        <f>Inputs!A2</f>
        <v/>
      </c>
      <c r="B4" s="11">
        <f>Blocks!B4</f>
        <v/>
      </c>
      <c r="C4" s="11">
        <f>Blocks!C4</f>
        <v/>
      </c>
      <c r="D4" s="11">
        <f>Blocks!D4</f>
        <v/>
      </c>
      <c r="E4" s="5">
        <f>IFERROR(INDEX(Team!$B$2:$B$60,MATCH(D4,Team!$A$2:$A$60,0)),"(assign)")</f>
        <v/>
      </c>
      <c r="F4" s="11">
        <f>Blocks!E4</f>
        <v/>
      </c>
      <c r="G4" s="12">
        <f>Inputs!D2</f>
        <v/>
      </c>
      <c r="H4" s="12">
        <f>IF(F4=0,G4,WORKDAY(G4,F4-1,Holidays!$A$2:$A$60))</f>
        <v/>
      </c>
      <c r="I4" s="12" t="n"/>
      <c r="J4" s="12" t="n"/>
      <c r="K4" s="13" t="n"/>
      <c r="L4" s="11">
        <f>IF(Blocks!H4="","",Blocks!H4)</f>
        <v/>
      </c>
    </row>
    <row r="5">
      <c r="A5" s="11">
        <f>Inputs!A2</f>
        <v/>
      </c>
      <c r="B5" s="11">
        <f>Blocks!B5</f>
        <v/>
      </c>
      <c r="C5" s="11">
        <f>Blocks!C5</f>
        <v/>
      </c>
      <c r="D5" s="11">
        <f>Blocks!D5</f>
        <v/>
      </c>
      <c r="E5" s="5">
        <f>IFERROR(INDEX(Team!$B$2:$B$60,MATCH(D5,Team!$A$2:$A$60,0)),"(assign)")</f>
        <v/>
      </c>
      <c r="F5" s="11">
        <f>Blocks!E5</f>
        <v/>
      </c>
      <c r="G5" s="12">
        <f>MAX(WORKDAY(H4,1,Holidays!$A$2:$A$60))</f>
        <v/>
      </c>
      <c r="H5" s="12">
        <f>IF(F5=0,G5,WORKDAY(G5,F5-1,Holidays!$A$2:$A$60))</f>
        <v/>
      </c>
      <c r="I5" s="14" t="n">
        <v>46245</v>
      </c>
      <c r="J5" s="14" t="n">
        <v>46246</v>
      </c>
      <c r="K5" s="13">
        <f>IF(J5="","",H5-J5)</f>
        <v/>
      </c>
      <c r="L5" s="11">
        <f>IF(Blocks!H5="","",Blocks!H5)</f>
        <v/>
      </c>
    </row>
    <row r="6">
      <c r="A6" s="11">
        <f>Inputs!A2</f>
        <v/>
      </c>
      <c r="B6" s="11">
        <f>Blocks!B6</f>
        <v/>
      </c>
      <c r="C6" s="11">
        <f>Blocks!C6</f>
        <v/>
      </c>
      <c r="D6" s="11">
        <f>Blocks!D6</f>
        <v/>
      </c>
      <c r="E6" s="5">
        <f>IFERROR(INDEX(Team!$B$2:$B$60,MATCH(D6,Team!$A$2:$A$60,0)),"(assign)")</f>
        <v/>
      </c>
      <c r="F6" s="11">
        <f>Blocks!E6</f>
        <v/>
      </c>
      <c r="G6" s="12">
        <f>IF(Inputs!E2="",MAX(WORKDAY(H5,1,Holidays!$A$2:$A$60)),Inputs!E2)</f>
        <v/>
      </c>
      <c r="H6" s="12">
        <f>IF(F6=0,G6,WORKDAY(G6,F6-1,Holidays!$A$2:$A$60))</f>
        <v/>
      </c>
      <c r="I6" s="12" t="n"/>
      <c r="J6" s="12" t="n"/>
      <c r="K6" s="13" t="n"/>
      <c r="L6" s="11">
        <f>IF(Blocks!H6="","",Blocks!H6)</f>
        <v/>
      </c>
    </row>
    <row r="7">
      <c r="A7" s="11">
        <f>Inputs!A2</f>
        <v/>
      </c>
      <c r="B7" s="11">
        <f>Blocks!B7</f>
        <v/>
      </c>
      <c r="C7" s="11">
        <f>Blocks!C7</f>
        <v/>
      </c>
      <c r="D7" s="11">
        <f>Blocks!D7</f>
        <v/>
      </c>
      <c r="E7" s="5">
        <f>IFERROR(INDEX(Team!$B$2:$B$60,MATCH(D7,Team!$A$2:$A$60,0)),"(assign)")</f>
        <v/>
      </c>
      <c r="F7" s="11">
        <f>Blocks!E7</f>
        <v/>
      </c>
      <c r="G7" s="12">
        <f>MAX(Inputs!F2,WORKDAY(H5,1,Holidays!$A$2:$A$60),WORKDAY(H6,1,Holidays!$A$2:$A$60))</f>
        <v/>
      </c>
      <c r="H7" s="12">
        <f>IF(F7=0,G7,WORKDAY(G7,F7-1,Holidays!$A$2:$A$60))</f>
        <v/>
      </c>
      <c r="I7" s="14" t="n">
        <v>46302</v>
      </c>
      <c r="J7" s="14" t="n">
        <v>46302</v>
      </c>
      <c r="K7" s="13">
        <f>IF(J7="","",H7-J7)</f>
        <v/>
      </c>
      <c r="L7" s="11">
        <f>IF(Blocks!H7="","",Blocks!H7)</f>
        <v/>
      </c>
    </row>
    <row r="8">
      <c r="A8" s="11">
        <f>Inputs!A2</f>
        <v/>
      </c>
      <c r="B8" s="11">
        <f>Blocks!B8</f>
        <v/>
      </c>
      <c r="C8" s="11">
        <f>Blocks!C8</f>
        <v/>
      </c>
      <c r="D8" s="11">
        <f>Blocks!D8</f>
        <v/>
      </c>
      <c r="E8" s="5">
        <f>IFERROR(INDEX(Team!$B$2:$B$60,MATCH(D8,Team!$A$2:$A$60,0)),"(assign)")</f>
        <v/>
      </c>
      <c r="F8" s="11">
        <f>Blocks!E8</f>
        <v/>
      </c>
      <c r="G8" s="12">
        <f>MAX(WORKDAY(H7,1,Holidays!$A$2:$A$60))</f>
        <v/>
      </c>
      <c r="H8" s="12">
        <f>IF(F8=0,G8,WORKDAY(G8,F8-1,Holidays!$A$2:$A$60))</f>
        <v/>
      </c>
      <c r="I8" s="14" t="n">
        <v>46303</v>
      </c>
      <c r="J8" s="14" t="n">
        <v>46315</v>
      </c>
      <c r="K8" s="13">
        <f>IF(J8="","",H8-J8)</f>
        <v/>
      </c>
      <c r="L8" s="11">
        <f>IF(Blocks!H8="","",Blocks!H8)</f>
        <v/>
      </c>
    </row>
    <row r="9">
      <c r="A9" s="11">
        <f>Inputs!A2</f>
        <v/>
      </c>
      <c r="B9" s="11">
        <f>Blocks!B9</f>
        <v/>
      </c>
      <c r="C9" s="11">
        <f>Blocks!C9</f>
        <v/>
      </c>
      <c r="D9" s="11">
        <f>Blocks!D9</f>
        <v/>
      </c>
      <c r="E9" s="5">
        <f>IFERROR(INDEX(Team!$B$2:$B$60,MATCH(D9,Team!$A$2:$A$60,0)),"(assign)")</f>
        <v/>
      </c>
      <c r="F9" s="11">
        <f>Blocks!E9</f>
        <v/>
      </c>
      <c r="G9" s="12">
        <f>MAX(WORKDAY(H8,1,Holidays!$A$2:$A$60))</f>
        <v/>
      </c>
      <c r="H9" s="12">
        <f>IF(F9=0,G9,WORKDAY(G9,F9-1,Holidays!$A$2:$A$60))</f>
        <v/>
      </c>
      <c r="I9" s="14" t="n">
        <v>46316</v>
      </c>
      <c r="J9" s="14" t="n">
        <v>46316</v>
      </c>
      <c r="K9" s="13">
        <f>IF(J9="","",H9-J9)</f>
        <v/>
      </c>
      <c r="L9" s="11">
        <f>IF(Blocks!H9="","",Blocks!H9)</f>
        <v/>
      </c>
    </row>
    <row r="10">
      <c r="A10" s="11">
        <f>Inputs!A2</f>
        <v/>
      </c>
      <c r="B10" s="11">
        <f>Blocks!B10</f>
        <v/>
      </c>
      <c r="C10" s="11">
        <f>Blocks!C10</f>
        <v/>
      </c>
      <c r="D10" s="11">
        <f>Blocks!D10</f>
        <v/>
      </c>
      <c r="E10" s="5">
        <f>IFERROR(INDEX(Team!$B$2:$B$60,MATCH(D10,Team!$A$2:$A$60,0)),"(assign)")</f>
        <v/>
      </c>
      <c r="F10" s="11">
        <f>Blocks!E10</f>
        <v/>
      </c>
      <c r="G10" s="12">
        <f>G9</f>
        <v/>
      </c>
      <c r="H10" s="12">
        <f>IF(F10=0,G10,WORKDAY(G10,F10-1,Holidays!$A$2:$A$60))</f>
        <v/>
      </c>
      <c r="I10" s="12" t="n"/>
      <c r="J10" s="12" t="n"/>
      <c r="K10" s="13" t="n"/>
      <c r="L10" s="11">
        <f>IF(Blocks!H10="","",Blocks!H10)</f>
        <v/>
      </c>
    </row>
    <row r="11">
      <c r="A11" s="11">
        <f>Inputs!A2</f>
        <v/>
      </c>
      <c r="B11" s="11">
        <f>Blocks!B11</f>
        <v/>
      </c>
      <c r="C11" s="11">
        <f>Blocks!C11</f>
        <v/>
      </c>
      <c r="D11" s="11">
        <f>Blocks!D11</f>
        <v/>
      </c>
      <c r="E11" s="5">
        <f>IFERROR(INDEX(Team!$B$2:$B$60,MATCH(D11,Team!$A$2:$A$60,0)),"(assign)")</f>
        <v/>
      </c>
      <c r="F11" s="11">
        <f>Blocks!E11</f>
        <v/>
      </c>
      <c r="G11" s="12">
        <f>MAX(WORKDAY(H9,1,Holidays!$A$2:$A$60))</f>
        <v/>
      </c>
      <c r="H11" s="12">
        <f>IF(F11=0,G11,WORKDAY(G11,F11-1,Holidays!$A$2:$A$60))</f>
        <v/>
      </c>
      <c r="I11" s="14" t="n">
        <v>46317</v>
      </c>
      <c r="J11" s="14" t="n">
        <v>46318</v>
      </c>
      <c r="K11" s="13">
        <f>IF(J11="","",H11-J11)</f>
        <v/>
      </c>
      <c r="L11" s="11">
        <f>IF(Blocks!H11="","",Blocks!H11)</f>
        <v/>
      </c>
    </row>
    <row r="12">
      <c r="A12" s="11">
        <f>Inputs!A2</f>
        <v/>
      </c>
      <c r="B12" s="11">
        <f>Blocks!B12</f>
        <v/>
      </c>
      <c r="C12" s="11">
        <f>Blocks!C12</f>
        <v/>
      </c>
      <c r="D12" s="11">
        <f>Blocks!D12</f>
        <v/>
      </c>
      <c r="E12" s="5">
        <f>IFERROR(INDEX(Team!$B$2:$B$60,MATCH(D12,Team!$A$2:$A$60,0)),"(assign)")</f>
        <v/>
      </c>
      <c r="F12" s="11">
        <f>Blocks!E12</f>
        <v/>
      </c>
      <c r="G12" s="12">
        <f>MAX(WORKDAY(H9,1,Holidays!$A$2:$A$60))</f>
        <v/>
      </c>
      <c r="H12" s="12">
        <f>IF(F12=0,G12,WORKDAY(G12,F12-1,Holidays!$A$2:$A$60))</f>
        <v/>
      </c>
      <c r="I12" s="14" t="n">
        <v>46317</v>
      </c>
      <c r="J12" s="14" t="n">
        <v>46322</v>
      </c>
      <c r="K12" s="13">
        <f>IF(J12="","",H12-J12)</f>
        <v/>
      </c>
      <c r="L12" s="11">
        <f>IF(Blocks!H12="","",Blocks!H12)</f>
        <v/>
      </c>
    </row>
    <row r="13">
      <c r="A13" s="11">
        <f>Inputs!A2</f>
        <v/>
      </c>
      <c r="B13" s="11">
        <f>Blocks!B13</f>
        <v/>
      </c>
      <c r="C13" s="11">
        <f>Blocks!C13</f>
        <v/>
      </c>
      <c r="D13" s="11">
        <f>Blocks!D13</f>
        <v/>
      </c>
      <c r="E13" s="5">
        <f>IFERROR(INDEX(Team!$B$2:$B$60,MATCH(D13,Team!$A$2:$A$60,0)),"(assign)")</f>
        <v/>
      </c>
      <c r="F13" s="11">
        <f>Blocks!E13</f>
        <v/>
      </c>
      <c r="G13" s="12">
        <f>MAX(H10,H11,H12)</f>
        <v/>
      </c>
      <c r="H13" s="12">
        <f>IF(F13=0,G13,WORKDAY(G13,F13-1,Holidays!$A$2:$A$60))</f>
        <v/>
      </c>
      <c r="I13" s="12" t="n"/>
      <c r="J13" s="12" t="n"/>
      <c r="K13" s="13" t="n"/>
      <c r="L13" s="11">
        <f>IF(Blocks!H13="","",Blocks!H13)</f>
        <v/>
      </c>
    </row>
    <row r="14">
      <c r="A14" s="7">
        <f>Inputs!A3</f>
        <v/>
      </c>
      <c r="B14" s="8" t="n"/>
      <c r="C14" s="8">
        <f>Inputs!B3&amp;": Mold "&amp;Inputs!A3&amp;" ("&amp;Inputs!C3&amp;")"</f>
        <v/>
      </c>
      <c r="D14" s="8" t="n"/>
      <c r="E14" s="8" t="n"/>
      <c r="F14" s="8" t="n"/>
      <c r="G14" s="9">
        <f>MIN(G15:G25)</f>
        <v/>
      </c>
      <c r="H14" s="9">
        <f>MAX(H15:H25)</f>
        <v/>
      </c>
      <c r="I14" s="9" t="n"/>
      <c r="J14" s="9" t="n"/>
      <c r="K14" s="10" t="n"/>
      <c r="L14" s="8" t="n"/>
    </row>
    <row r="15">
      <c r="A15" s="11">
        <f>Inputs!A3</f>
        <v/>
      </c>
      <c r="B15" s="11">
        <f>Blocks!B3</f>
        <v/>
      </c>
      <c r="C15" s="11">
        <f>Blocks!C3</f>
        <v/>
      </c>
      <c r="D15" s="11">
        <f>Blocks!D3</f>
        <v/>
      </c>
      <c r="E15" s="5">
        <f>IFERROR(INDEX(Team!$B$2:$B$60,MATCH(D15,Team!$A$2:$A$60,0)),"(assign)")</f>
        <v/>
      </c>
      <c r="F15" s="11">
        <f>Blocks!E3</f>
        <v/>
      </c>
      <c r="G15" s="12">
        <f>WORKDAY(G17,-F15,Holidays!$A$2:$A$60)</f>
        <v/>
      </c>
      <c r="H15" s="12">
        <f>IF(F15=0,G15,WORKDAY(G15,F15-1,Holidays!$A$2:$A$60))</f>
        <v/>
      </c>
      <c r="I15" s="12" t="n"/>
      <c r="J15" s="12" t="n"/>
      <c r="K15" s="13" t="n"/>
      <c r="L15" s="11">
        <f>IF(Blocks!H3="","",Blocks!H3)</f>
        <v/>
      </c>
    </row>
    <row r="16">
      <c r="A16" s="11">
        <f>Inputs!A3</f>
        <v/>
      </c>
      <c r="B16" s="11">
        <f>Blocks!B4</f>
        <v/>
      </c>
      <c r="C16" s="11">
        <f>Blocks!C4</f>
        <v/>
      </c>
      <c r="D16" s="11">
        <f>Blocks!D4</f>
        <v/>
      </c>
      <c r="E16" s="5">
        <f>IFERROR(INDEX(Team!$B$2:$B$60,MATCH(D16,Team!$A$2:$A$60,0)),"(assign)")</f>
        <v/>
      </c>
      <c r="F16" s="11">
        <f>Blocks!E4</f>
        <v/>
      </c>
      <c r="G16" s="12">
        <f>Inputs!D3</f>
        <v/>
      </c>
      <c r="H16" s="12">
        <f>IF(F16=0,G16,WORKDAY(G16,F16-1,Holidays!$A$2:$A$60))</f>
        <v/>
      </c>
      <c r="I16" s="12" t="n"/>
      <c r="J16" s="12" t="n"/>
      <c r="K16" s="13" t="n"/>
      <c r="L16" s="11">
        <f>IF(Blocks!H4="","",Blocks!H4)</f>
        <v/>
      </c>
    </row>
    <row r="17">
      <c r="A17" s="11">
        <f>Inputs!A3</f>
        <v/>
      </c>
      <c r="B17" s="11">
        <f>Blocks!B5</f>
        <v/>
      </c>
      <c r="C17" s="11">
        <f>Blocks!C5</f>
        <v/>
      </c>
      <c r="D17" s="11">
        <f>Blocks!D5</f>
        <v/>
      </c>
      <c r="E17" s="5">
        <f>IFERROR(INDEX(Team!$B$2:$B$60,MATCH(D17,Team!$A$2:$A$60,0)),"(assign)")</f>
        <v/>
      </c>
      <c r="F17" s="11">
        <f>Blocks!E5</f>
        <v/>
      </c>
      <c r="G17" s="12">
        <f>MAX(WORKDAY(H16,1,Holidays!$A$2:$A$60))</f>
        <v/>
      </c>
      <c r="H17" s="12">
        <f>IF(F17=0,G17,WORKDAY(G17,F17-1,Holidays!$A$2:$A$60))</f>
        <v/>
      </c>
      <c r="I17" s="14" t="n">
        <v>46269</v>
      </c>
      <c r="J17" s="14" t="n">
        <v>46272</v>
      </c>
      <c r="K17" s="13">
        <f>IF(J17="","",H17-J17)</f>
        <v/>
      </c>
      <c r="L17" s="11">
        <f>IF(Blocks!H5="","",Blocks!H5)</f>
        <v/>
      </c>
    </row>
    <row r="18">
      <c r="A18" s="11">
        <f>Inputs!A3</f>
        <v/>
      </c>
      <c r="B18" s="11">
        <f>Blocks!B6</f>
        <v/>
      </c>
      <c r="C18" s="11">
        <f>Blocks!C6</f>
        <v/>
      </c>
      <c r="D18" s="11">
        <f>Blocks!D6</f>
        <v/>
      </c>
      <c r="E18" s="5">
        <f>IFERROR(INDEX(Team!$B$2:$B$60,MATCH(D18,Team!$A$2:$A$60,0)),"(assign)")</f>
        <v/>
      </c>
      <c r="F18" s="11">
        <f>Blocks!E6</f>
        <v/>
      </c>
      <c r="G18" s="12">
        <f>IF(Inputs!E3="",MAX(WORKDAY(H17,1,Holidays!$A$2:$A$60)),Inputs!E3)</f>
        <v/>
      </c>
      <c r="H18" s="12">
        <f>IF(F18=0,G18,WORKDAY(G18,F18-1,Holidays!$A$2:$A$60))</f>
        <v/>
      </c>
      <c r="I18" s="12" t="n"/>
      <c r="J18" s="12" t="n"/>
      <c r="K18" s="13" t="n"/>
      <c r="L18" s="11">
        <f>IF(Blocks!H6="","",Blocks!H6)</f>
        <v/>
      </c>
    </row>
    <row r="19">
      <c r="A19" s="11">
        <f>Inputs!A3</f>
        <v/>
      </c>
      <c r="B19" s="11">
        <f>Blocks!B7</f>
        <v/>
      </c>
      <c r="C19" s="11">
        <f>Blocks!C7</f>
        <v/>
      </c>
      <c r="D19" s="11">
        <f>Blocks!D7</f>
        <v/>
      </c>
      <c r="E19" s="5">
        <f>IFERROR(INDEX(Team!$B$2:$B$60,MATCH(D19,Team!$A$2:$A$60,0)),"(assign)")</f>
        <v/>
      </c>
      <c r="F19" s="11">
        <f>Blocks!E7</f>
        <v/>
      </c>
      <c r="G19" s="12">
        <f>MAX(Inputs!F3,WORKDAY(H17,1,Holidays!$A$2:$A$60),WORKDAY(H18,1,Holidays!$A$2:$A$60))</f>
        <v/>
      </c>
      <c r="H19" s="12">
        <f>IF(F19=0,G19,WORKDAY(G19,F19-1,Holidays!$A$2:$A$60))</f>
        <v/>
      </c>
      <c r="I19" s="14" t="n">
        <v>46303</v>
      </c>
      <c r="J19" s="14" t="n">
        <v>46303</v>
      </c>
      <c r="K19" s="13">
        <f>IF(J19="","",H19-J19)</f>
        <v/>
      </c>
      <c r="L19" s="11">
        <f>IF(Blocks!H7="","",Blocks!H7)</f>
        <v/>
      </c>
    </row>
    <row r="20">
      <c r="A20" s="11">
        <f>Inputs!A3</f>
        <v/>
      </c>
      <c r="B20" s="11">
        <f>Blocks!B8</f>
        <v/>
      </c>
      <c r="C20" s="11">
        <f>Blocks!C8</f>
        <v/>
      </c>
      <c r="D20" s="11">
        <f>Blocks!D8</f>
        <v/>
      </c>
      <c r="E20" s="5">
        <f>IFERROR(INDEX(Team!$B$2:$B$60,MATCH(D20,Team!$A$2:$A$60,0)),"(assign)")</f>
        <v/>
      </c>
      <c r="F20" s="11">
        <f>Blocks!E8</f>
        <v/>
      </c>
      <c r="G20" s="12">
        <f>MAX(WORKDAY(H19,1,Holidays!$A$2:$A$60))</f>
        <v/>
      </c>
      <c r="H20" s="12">
        <f>IF(F20=0,G20,WORKDAY(G20,F20-1,Holidays!$A$2:$A$60))</f>
        <v/>
      </c>
      <c r="I20" s="14" t="n">
        <v>46304</v>
      </c>
      <c r="J20" s="14" t="n">
        <v>46316</v>
      </c>
      <c r="K20" s="13">
        <f>IF(J20="","",H20-J20)</f>
        <v/>
      </c>
      <c r="L20" s="11">
        <f>IF(Blocks!H8="","",Blocks!H8)</f>
        <v/>
      </c>
    </row>
    <row r="21">
      <c r="A21" s="11">
        <f>Inputs!A3</f>
        <v/>
      </c>
      <c r="B21" s="11">
        <f>Blocks!B9</f>
        <v/>
      </c>
      <c r="C21" s="11">
        <f>Blocks!C9</f>
        <v/>
      </c>
      <c r="D21" s="11">
        <f>Blocks!D9</f>
        <v/>
      </c>
      <c r="E21" s="5">
        <f>IFERROR(INDEX(Team!$B$2:$B$60,MATCH(D21,Team!$A$2:$A$60,0)),"(assign)")</f>
        <v/>
      </c>
      <c r="F21" s="11">
        <f>Blocks!E9</f>
        <v/>
      </c>
      <c r="G21" s="12">
        <f>MAX(WORKDAY(H20,1,Holidays!$A$2:$A$60))</f>
        <v/>
      </c>
      <c r="H21" s="12">
        <f>IF(F21=0,G21,WORKDAY(G21,F21-1,Holidays!$A$2:$A$60))</f>
        <v/>
      </c>
      <c r="I21" s="14" t="n">
        <v>46317</v>
      </c>
      <c r="J21" s="14" t="n">
        <v>46317</v>
      </c>
      <c r="K21" s="13">
        <f>IF(J21="","",H21-J21)</f>
        <v/>
      </c>
      <c r="L21" s="11">
        <f>IF(Blocks!H9="","",Blocks!H9)</f>
        <v/>
      </c>
    </row>
    <row r="22">
      <c r="A22" s="11">
        <f>Inputs!A3</f>
        <v/>
      </c>
      <c r="B22" s="11">
        <f>Blocks!B10</f>
        <v/>
      </c>
      <c r="C22" s="11">
        <f>Blocks!C10</f>
        <v/>
      </c>
      <c r="D22" s="11">
        <f>Blocks!D10</f>
        <v/>
      </c>
      <c r="E22" s="5">
        <f>IFERROR(INDEX(Team!$B$2:$B$60,MATCH(D22,Team!$A$2:$A$60,0)),"(assign)")</f>
        <v/>
      </c>
      <c r="F22" s="11">
        <f>Blocks!E10</f>
        <v/>
      </c>
      <c r="G22" s="12">
        <f>G21</f>
        <v/>
      </c>
      <c r="H22" s="12">
        <f>IF(F22=0,G22,WORKDAY(G22,F22-1,Holidays!$A$2:$A$60))</f>
        <v/>
      </c>
      <c r="I22" s="12" t="n"/>
      <c r="J22" s="12" t="n"/>
      <c r="K22" s="13" t="n"/>
      <c r="L22" s="11">
        <f>IF(Blocks!H10="","",Blocks!H10)</f>
        <v/>
      </c>
    </row>
    <row r="23">
      <c r="A23" s="11">
        <f>Inputs!A3</f>
        <v/>
      </c>
      <c r="B23" s="11">
        <f>Blocks!B11</f>
        <v/>
      </c>
      <c r="C23" s="11">
        <f>Blocks!C11</f>
        <v/>
      </c>
      <c r="D23" s="11">
        <f>Blocks!D11</f>
        <v/>
      </c>
      <c r="E23" s="5">
        <f>IFERROR(INDEX(Team!$B$2:$B$60,MATCH(D23,Team!$A$2:$A$60,0)),"(assign)")</f>
        <v/>
      </c>
      <c r="F23" s="11">
        <f>Blocks!E11</f>
        <v/>
      </c>
      <c r="G23" s="12">
        <f>MAX(WORKDAY(H21,1,Holidays!$A$2:$A$60))</f>
        <v/>
      </c>
      <c r="H23" s="12">
        <f>IF(F23=0,G23,WORKDAY(G23,F23-1,Holidays!$A$2:$A$60))</f>
        <v/>
      </c>
      <c r="I23" s="14" t="n">
        <v>46318</v>
      </c>
      <c r="J23" s="14" t="n">
        <v>46321</v>
      </c>
      <c r="K23" s="13">
        <f>IF(J23="","",H23-J23)</f>
        <v/>
      </c>
      <c r="L23" s="11">
        <f>IF(Blocks!H11="","",Blocks!H11)</f>
        <v/>
      </c>
    </row>
    <row r="24">
      <c r="A24" s="11">
        <f>Inputs!A3</f>
        <v/>
      </c>
      <c r="B24" s="11">
        <f>Blocks!B12</f>
        <v/>
      </c>
      <c r="C24" s="11">
        <f>Blocks!C12</f>
        <v/>
      </c>
      <c r="D24" s="11">
        <f>Blocks!D12</f>
        <v/>
      </c>
      <c r="E24" s="5">
        <f>IFERROR(INDEX(Team!$B$2:$B$60,MATCH(D24,Team!$A$2:$A$60,0)),"(assign)")</f>
        <v/>
      </c>
      <c r="F24" s="11">
        <f>Blocks!E12</f>
        <v/>
      </c>
      <c r="G24" s="12">
        <f>MAX(WORKDAY(H21,1,Holidays!$A$2:$A$60))</f>
        <v/>
      </c>
      <c r="H24" s="12">
        <f>IF(F24=0,G24,WORKDAY(G24,F24-1,Holidays!$A$2:$A$60))</f>
        <v/>
      </c>
      <c r="I24" s="14" t="n">
        <v>46318</v>
      </c>
      <c r="J24" s="14" t="n">
        <v>46323</v>
      </c>
      <c r="K24" s="13">
        <f>IF(J24="","",H24-J24)</f>
        <v/>
      </c>
      <c r="L24" s="11">
        <f>IF(Blocks!H12="","",Blocks!H12)</f>
        <v/>
      </c>
    </row>
    <row r="25">
      <c r="A25" s="11">
        <f>Inputs!A3</f>
        <v/>
      </c>
      <c r="B25" s="11">
        <f>Blocks!B13</f>
        <v/>
      </c>
      <c r="C25" s="11">
        <f>Blocks!C13</f>
        <v/>
      </c>
      <c r="D25" s="11">
        <f>Blocks!D13</f>
        <v/>
      </c>
      <c r="E25" s="5">
        <f>IFERROR(INDEX(Team!$B$2:$B$60,MATCH(D25,Team!$A$2:$A$60,0)),"(assign)")</f>
        <v/>
      </c>
      <c r="F25" s="11">
        <f>Blocks!E13</f>
        <v/>
      </c>
      <c r="G25" s="12">
        <f>MAX(H22,H23,H24)</f>
        <v/>
      </c>
      <c r="H25" s="12">
        <f>IF(F25=0,G25,WORKDAY(G25,F25-1,Holidays!$A$2:$A$60))</f>
        <v/>
      </c>
      <c r="I25" s="12" t="n"/>
      <c r="J25" s="12" t="n"/>
      <c r="K25" s="13" t="n"/>
      <c r="L25" s="11">
        <f>IF(Blocks!H13="","",Blocks!H13)</f>
        <v/>
      </c>
    </row>
    <row r="26">
      <c r="A26" s="7">
        <f>Inputs!A4</f>
        <v/>
      </c>
      <c r="B26" s="8" t="n"/>
      <c r="C26" s="8">
        <f>Inputs!B4&amp;": Mold "&amp;Inputs!A4&amp;" ("&amp;Inputs!C4&amp;")"</f>
        <v/>
      </c>
      <c r="D26" s="8" t="n"/>
      <c r="E26" s="8" t="n"/>
      <c r="F26" s="8" t="n"/>
      <c r="G26" s="9">
        <f>MIN(G27:G37)</f>
        <v/>
      </c>
      <c r="H26" s="9">
        <f>MAX(H27:H37)</f>
        <v/>
      </c>
      <c r="I26" s="9" t="n"/>
      <c r="J26" s="9" t="n"/>
      <c r="K26" s="10" t="n"/>
      <c r="L26" s="8" t="n"/>
    </row>
    <row r="27">
      <c r="A27" s="11">
        <f>Inputs!A4</f>
        <v/>
      </c>
      <c r="B27" s="11">
        <f>Blocks!B3</f>
        <v/>
      </c>
      <c r="C27" s="11">
        <f>Blocks!C3</f>
        <v/>
      </c>
      <c r="D27" s="11">
        <f>Blocks!D3</f>
        <v/>
      </c>
      <c r="E27" s="5">
        <f>IFERROR(INDEX(Team!$B$2:$B$60,MATCH(D27,Team!$A$2:$A$60,0)),"(assign)")</f>
        <v/>
      </c>
      <c r="F27" s="11">
        <f>Blocks!E3</f>
        <v/>
      </c>
      <c r="G27" s="12">
        <f>WORKDAY(G29,-F27,Holidays!$A$2:$A$60)</f>
        <v/>
      </c>
      <c r="H27" s="12">
        <f>IF(F27=0,G27,WORKDAY(G27,F27-1,Holidays!$A$2:$A$60))</f>
        <v/>
      </c>
      <c r="I27" s="12" t="n"/>
      <c r="J27" s="12" t="n"/>
      <c r="K27" s="13" t="n"/>
      <c r="L27" s="11">
        <f>IF(Blocks!H3="","",Blocks!H3)</f>
        <v/>
      </c>
    </row>
    <row r="28">
      <c r="A28" s="11">
        <f>Inputs!A4</f>
        <v/>
      </c>
      <c r="B28" s="11">
        <f>Blocks!B4</f>
        <v/>
      </c>
      <c r="C28" s="11">
        <f>Blocks!C4</f>
        <v/>
      </c>
      <c r="D28" s="11">
        <f>Blocks!D4</f>
        <v/>
      </c>
      <c r="E28" s="5">
        <f>IFERROR(INDEX(Team!$B$2:$B$60,MATCH(D28,Team!$A$2:$A$60,0)),"(assign)")</f>
        <v/>
      </c>
      <c r="F28" s="11">
        <f>Blocks!E4</f>
        <v/>
      </c>
      <c r="G28" s="12">
        <f>Inputs!D4</f>
        <v/>
      </c>
      <c r="H28" s="12">
        <f>IF(F28=0,G28,WORKDAY(G28,F28-1,Holidays!$A$2:$A$60))</f>
        <v/>
      </c>
      <c r="I28" s="12" t="n"/>
      <c r="J28" s="12" t="n"/>
      <c r="K28" s="13" t="n"/>
      <c r="L28" s="11">
        <f>IF(Blocks!H4="","",Blocks!H4)</f>
        <v/>
      </c>
    </row>
    <row r="29">
      <c r="A29" s="11">
        <f>Inputs!A4</f>
        <v/>
      </c>
      <c r="B29" s="11">
        <f>Blocks!B5</f>
        <v/>
      </c>
      <c r="C29" s="11">
        <f>Blocks!C5</f>
        <v/>
      </c>
      <c r="D29" s="11">
        <f>Blocks!D5</f>
        <v/>
      </c>
      <c r="E29" s="5">
        <f>IFERROR(INDEX(Team!$B$2:$B$60,MATCH(D29,Team!$A$2:$A$60,0)),"(assign)")</f>
        <v/>
      </c>
      <c r="F29" s="11">
        <f>Blocks!E5</f>
        <v/>
      </c>
      <c r="G29" s="12">
        <f>MAX(WORKDAY(H28,1,Holidays!$A$2:$A$60))</f>
        <v/>
      </c>
      <c r="H29" s="12">
        <f>IF(F29=0,G29,WORKDAY(G29,F29-1,Holidays!$A$2:$A$60))</f>
        <v/>
      </c>
      <c r="I29" s="14" t="n">
        <v>46269</v>
      </c>
      <c r="J29" s="14" t="n">
        <v>46272</v>
      </c>
      <c r="K29" s="13">
        <f>IF(J29="","",H29-J29)</f>
        <v/>
      </c>
      <c r="L29" s="11">
        <f>IF(Blocks!H5="","",Blocks!H5)</f>
        <v/>
      </c>
    </row>
    <row r="30">
      <c r="A30" s="11">
        <f>Inputs!A4</f>
        <v/>
      </c>
      <c r="B30" s="11">
        <f>Blocks!B6</f>
        <v/>
      </c>
      <c r="C30" s="11">
        <f>Blocks!C6</f>
        <v/>
      </c>
      <c r="D30" s="11">
        <f>Blocks!D6</f>
        <v/>
      </c>
      <c r="E30" s="5">
        <f>IFERROR(INDEX(Team!$B$2:$B$60,MATCH(D30,Team!$A$2:$A$60,0)),"(assign)")</f>
        <v/>
      </c>
      <c r="F30" s="11">
        <f>Blocks!E6</f>
        <v/>
      </c>
      <c r="G30" s="12">
        <f>IF(Inputs!E4="",MAX(WORKDAY(H29,1,Holidays!$A$2:$A$60)),Inputs!E4)</f>
        <v/>
      </c>
      <c r="H30" s="12">
        <f>IF(F30=0,G30,WORKDAY(G30,F30-1,Holidays!$A$2:$A$60))</f>
        <v/>
      </c>
      <c r="I30" s="12" t="n"/>
      <c r="J30" s="12" t="n"/>
      <c r="K30" s="13" t="n"/>
      <c r="L30" s="11">
        <f>IF(Blocks!H6="","",Blocks!H6)</f>
        <v/>
      </c>
    </row>
    <row r="31">
      <c r="A31" s="11">
        <f>Inputs!A4</f>
        <v/>
      </c>
      <c r="B31" s="11">
        <f>Blocks!B7</f>
        <v/>
      </c>
      <c r="C31" s="11">
        <f>Blocks!C7</f>
        <v/>
      </c>
      <c r="D31" s="11">
        <f>Blocks!D7</f>
        <v/>
      </c>
      <c r="E31" s="5">
        <f>IFERROR(INDEX(Team!$B$2:$B$60,MATCH(D31,Team!$A$2:$A$60,0)),"(assign)")</f>
        <v/>
      </c>
      <c r="F31" s="11">
        <f>Blocks!E7</f>
        <v/>
      </c>
      <c r="G31" s="12">
        <f>MAX(Inputs!F4,WORKDAY(H29,1,Holidays!$A$2:$A$60),WORKDAY(H30,1,Holidays!$A$2:$A$60))</f>
        <v/>
      </c>
      <c r="H31" s="12">
        <f>IF(F31=0,G31,WORKDAY(G31,F31-1,Holidays!$A$2:$A$60))</f>
        <v/>
      </c>
      <c r="I31" s="14" t="n">
        <v>46304</v>
      </c>
      <c r="J31" s="14" t="n">
        <v>46304</v>
      </c>
      <c r="K31" s="13">
        <f>IF(J31="","",H31-J31)</f>
        <v/>
      </c>
      <c r="L31" s="11">
        <f>IF(Blocks!H7="","",Blocks!H7)</f>
        <v/>
      </c>
    </row>
    <row r="32">
      <c r="A32" s="11">
        <f>Inputs!A4</f>
        <v/>
      </c>
      <c r="B32" s="11">
        <f>Blocks!B8</f>
        <v/>
      </c>
      <c r="C32" s="11">
        <f>Blocks!C8</f>
        <v/>
      </c>
      <c r="D32" s="11">
        <f>Blocks!D8</f>
        <v/>
      </c>
      <c r="E32" s="5">
        <f>IFERROR(INDEX(Team!$B$2:$B$60,MATCH(D32,Team!$A$2:$A$60,0)),"(assign)")</f>
        <v/>
      </c>
      <c r="F32" s="11">
        <f>Blocks!E8</f>
        <v/>
      </c>
      <c r="G32" s="12">
        <f>MAX(WORKDAY(H31,1,Holidays!$A$2:$A$60))</f>
        <v/>
      </c>
      <c r="H32" s="12">
        <f>IF(F32=0,G32,WORKDAY(G32,F32-1,Holidays!$A$2:$A$60))</f>
        <v/>
      </c>
      <c r="I32" s="14" t="n">
        <v>46307</v>
      </c>
      <c r="J32" s="14" t="n">
        <v>46317</v>
      </c>
      <c r="K32" s="13">
        <f>IF(J32="","",H32-J32)</f>
        <v/>
      </c>
      <c r="L32" s="11">
        <f>IF(Blocks!H8="","",Blocks!H8)</f>
        <v/>
      </c>
    </row>
    <row r="33">
      <c r="A33" s="11">
        <f>Inputs!A4</f>
        <v/>
      </c>
      <c r="B33" s="11">
        <f>Blocks!B9</f>
        <v/>
      </c>
      <c r="C33" s="11">
        <f>Blocks!C9</f>
        <v/>
      </c>
      <c r="D33" s="11">
        <f>Blocks!D9</f>
        <v/>
      </c>
      <c r="E33" s="5">
        <f>IFERROR(INDEX(Team!$B$2:$B$60,MATCH(D33,Team!$A$2:$A$60,0)),"(assign)")</f>
        <v/>
      </c>
      <c r="F33" s="11">
        <f>Blocks!E9</f>
        <v/>
      </c>
      <c r="G33" s="12">
        <f>MAX(WORKDAY(H32,1,Holidays!$A$2:$A$60))</f>
        <v/>
      </c>
      <c r="H33" s="12">
        <f>IF(F33=0,G33,WORKDAY(G33,F33-1,Holidays!$A$2:$A$60))</f>
        <v/>
      </c>
      <c r="I33" s="14" t="n">
        <v>46318</v>
      </c>
      <c r="J33" s="14" t="n">
        <v>46318</v>
      </c>
      <c r="K33" s="13">
        <f>IF(J33="","",H33-J33)</f>
        <v/>
      </c>
      <c r="L33" s="11">
        <f>IF(Blocks!H9="","",Blocks!H9)</f>
        <v/>
      </c>
    </row>
    <row r="34">
      <c r="A34" s="11">
        <f>Inputs!A4</f>
        <v/>
      </c>
      <c r="B34" s="11">
        <f>Blocks!B10</f>
        <v/>
      </c>
      <c r="C34" s="11">
        <f>Blocks!C10</f>
        <v/>
      </c>
      <c r="D34" s="11">
        <f>Blocks!D10</f>
        <v/>
      </c>
      <c r="E34" s="5">
        <f>IFERROR(INDEX(Team!$B$2:$B$60,MATCH(D34,Team!$A$2:$A$60,0)),"(assign)")</f>
        <v/>
      </c>
      <c r="F34" s="11">
        <f>Blocks!E10</f>
        <v/>
      </c>
      <c r="G34" s="12">
        <f>G33</f>
        <v/>
      </c>
      <c r="H34" s="12">
        <f>IF(F34=0,G34,WORKDAY(G34,F34-1,Holidays!$A$2:$A$60))</f>
        <v/>
      </c>
      <c r="I34" s="12" t="n"/>
      <c r="J34" s="12" t="n"/>
      <c r="K34" s="13" t="n"/>
      <c r="L34" s="11">
        <f>IF(Blocks!H10="","",Blocks!H10)</f>
        <v/>
      </c>
    </row>
    <row r="35">
      <c r="A35" s="11">
        <f>Inputs!A4</f>
        <v/>
      </c>
      <c r="B35" s="11">
        <f>Blocks!B11</f>
        <v/>
      </c>
      <c r="C35" s="11">
        <f>Blocks!C11</f>
        <v/>
      </c>
      <c r="D35" s="11">
        <f>Blocks!D11</f>
        <v/>
      </c>
      <c r="E35" s="5">
        <f>IFERROR(INDEX(Team!$B$2:$B$60,MATCH(D35,Team!$A$2:$A$60,0)),"(assign)")</f>
        <v/>
      </c>
      <c r="F35" s="11">
        <f>Blocks!E11</f>
        <v/>
      </c>
      <c r="G35" s="12">
        <f>MAX(WORKDAY(H33,1,Holidays!$A$2:$A$60))</f>
        <v/>
      </c>
      <c r="H35" s="12">
        <f>IF(F35=0,G35,WORKDAY(G35,F35-1,Holidays!$A$2:$A$60))</f>
        <v/>
      </c>
      <c r="I35" s="14" t="n">
        <v>46321</v>
      </c>
      <c r="J35" s="14" t="n">
        <v>46322</v>
      </c>
      <c r="K35" s="13">
        <f>IF(J35="","",H35-J35)</f>
        <v/>
      </c>
      <c r="L35" s="11">
        <f>IF(Blocks!H11="","",Blocks!H11)</f>
        <v/>
      </c>
    </row>
    <row r="36">
      <c r="A36" s="11">
        <f>Inputs!A4</f>
        <v/>
      </c>
      <c r="B36" s="11">
        <f>Blocks!B12</f>
        <v/>
      </c>
      <c r="C36" s="11">
        <f>Blocks!C12</f>
        <v/>
      </c>
      <c r="D36" s="11">
        <f>Blocks!D12</f>
        <v/>
      </c>
      <c r="E36" s="5">
        <f>IFERROR(INDEX(Team!$B$2:$B$60,MATCH(D36,Team!$A$2:$A$60,0)),"(assign)")</f>
        <v/>
      </c>
      <c r="F36" s="11">
        <f>Blocks!E12</f>
        <v/>
      </c>
      <c r="G36" s="12">
        <f>MAX(WORKDAY(H33,1,Holidays!$A$2:$A$60))</f>
        <v/>
      </c>
      <c r="H36" s="12">
        <f>IF(F36=0,G36,WORKDAY(G36,F36-1,Holidays!$A$2:$A$60))</f>
        <v/>
      </c>
      <c r="I36" s="14" t="n">
        <v>46321</v>
      </c>
      <c r="J36" s="14" t="n">
        <v>46324</v>
      </c>
      <c r="K36" s="13">
        <f>IF(J36="","",H36-J36)</f>
        <v/>
      </c>
      <c r="L36" s="11">
        <f>IF(Blocks!H12="","",Blocks!H12)</f>
        <v/>
      </c>
    </row>
    <row r="37">
      <c r="A37" s="11">
        <f>Inputs!A4</f>
        <v/>
      </c>
      <c r="B37" s="11">
        <f>Blocks!B13</f>
        <v/>
      </c>
      <c r="C37" s="11">
        <f>Blocks!C13</f>
        <v/>
      </c>
      <c r="D37" s="11">
        <f>Blocks!D13</f>
        <v/>
      </c>
      <c r="E37" s="5">
        <f>IFERROR(INDEX(Team!$B$2:$B$60,MATCH(D37,Team!$A$2:$A$60,0)),"(assign)")</f>
        <v/>
      </c>
      <c r="F37" s="11">
        <f>Blocks!E13</f>
        <v/>
      </c>
      <c r="G37" s="12">
        <f>MAX(H34,H35,H36)</f>
        <v/>
      </c>
      <c r="H37" s="12">
        <f>IF(F37=0,G37,WORKDAY(G37,F37-1,Holidays!$A$2:$A$60))</f>
        <v/>
      </c>
      <c r="I37" s="12" t="n"/>
      <c r="J37" s="12" t="n"/>
      <c r="K37" s="13" t="n"/>
      <c r="L37" s="11">
        <f>IF(Blocks!H13="","",Blocks!H13)</f>
        <v/>
      </c>
    </row>
    <row r="38">
      <c r="A38" s="7">
        <f>Inputs!A5</f>
        <v/>
      </c>
      <c r="B38" s="8" t="n"/>
      <c r="C38" s="8">
        <f>Inputs!B5&amp;": Mold "&amp;Inputs!A5&amp;" ("&amp;Inputs!C5&amp;")"</f>
        <v/>
      </c>
      <c r="D38" s="8" t="n"/>
      <c r="E38" s="8" t="n"/>
      <c r="F38" s="8" t="n"/>
      <c r="G38" s="9">
        <f>MIN(G39:G49)</f>
        <v/>
      </c>
      <c r="H38" s="9">
        <f>MAX(H39:H49)</f>
        <v/>
      </c>
      <c r="I38" s="9" t="n"/>
      <c r="J38" s="9" t="n"/>
      <c r="K38" s="10" t="n"/>
      <c r="L38" s="8" t="n"/>
    </row>
    <row r="39">
      <c r="A39" s="11">
        <f>Inputs!A5</f>
        <v/>
      </c>
      <c r="B39" s="11">
        <f>Blocks!B3</f>
        <v/>
      </c>
      <c r="C39" s="11">
        <f>Blocks!C3</f>
        <v/>
      </c>
      <c r="D39" s="11">
        <f>Blocks!D3</f>
        <v/>
      </c>
      <c r="E39" s="5">
        <f>IFERROR(INDEX(Team!$B$2:$B$60,MATCH(D39,Team!$A$2:$A$60,0)),"(assign)")</f>
        <v/>
      </c>
      <c r="F39" s="11">
        <f>Blocks!E3</f>
        <v/>
      </c>
      <c r="G39" s="12">
        <f>WORKDAY(G41,-F39,Holidays!$A$2:$A$60)</f>
        <v/>
      </c>
      <c r="H39" s="12">
        <f>IF(F39=0,G39,WORKDAY(G39,F39-1,Holidays!$A$2:$A$60))</f>
        <v/>
      </c>
      <c r="I39" s="12" t="n"/>
      <c r="J39" s="12" t="n"/>
      <c r="K39" s="13" t="n"/>
      <c r="L39" s="11">
        <f>IF(Blocks!H3="","",Blocks!H3)</f>
        <v/>
      </c>
    </row>
    <row r="40">
      <c r="A40" s="11">
        <f>Inputs!A5</f>
        <v/>
      </c>
      <c r="B40" s="11">
        <f>Blocks!B4</f>
        <v/>
      </c>
      <c r="C40" s="11">
        <f>Blocks!C4</f>
        <v/>
      </c>
      <c r="D40" s="11">
        <f>Blocks!D4</f>
        <v/>
      </c>
      <c r="E40" s="5">
        <f>IFERROR(INDEX(Team!$B$2:$B$60,MATCH(D40,Team!$A$2:$A$60,0)),"(assign)")</f>
        <v/>
      </c>
      <c r="F40" s="11">
        <f>Blocks!E4</f>
        <v/>
      </c>
      <c r="G40" s="12">
        <f>Inputs!D5</f>
        <v/>
      </c>
      <c r="H40" s="12">
        <f>IF(F40=0,G40,WORKDAY(G40,F40-1,Holidays!$A$2:$A$60))</f>
        <v/>
      </c>
      <c r="I40" s="12" t="n"/>
      <c r="J40" s="12" t="n"/>
      <c r="K40" s="13" t="n"/>
      <c r="L40" s="11">
        <f>IF(Blocks!H4="","",Blocks!H4)</f>
        <v/>
      </c>
    </row>
    <row r="41">
      <c r="A41" s="11">
        <f>Inputs!A5</f>
        <v/>
      </c>
      <c r="B41" s="11">
        <f>Blocks!B5</f>
        <v/>
      </c>
      <c r="C41" s="11">
        <f>Blocks!C5</f>
        <v/>
      </c>
      <c r="D41" s="11">
        <f>Blocks!D5</f>
        <v/>
      </c>
      <c r="E41" s="5">
        <f>IFERROR(INDEX(Team!$B$2:$B$60,MATCH(D41,Team!$A$2:$A$60,0)),"(assign)")</f>
        <v/>
      </c>
      <c r="F41" s="11">
        <f>Blocks!E5</f>
        <v/>
      </c>
      <c r="G41" s="12">
        <f>MAX(WORKDAY(H40,1,Holidays!$A$2:$A$60))</f>
        <v/>
      </c>
      <c r="H41" s="12">
        <f>IF(F41=0,G41,WORKDAY(G41,F41-1,Holidays!$A$2:$A$60))</f>
        <v/>
      </c>
      <c r="I41" s="14" t="n">
        <v>46251</v>
      </c>
      <c r="J41" s="14" t="n">
        <v>46252</v>
      </c>
      <c r="K41" s="13">
        <f>IF(J41="","",H41-J41)</f>
        <v/>
      </c>
      <c r="L41" s="11">
        <f>IF(Blocks!H5="","",Blocks!H5)</f>
        <v/>
      </c>
    </row>
    <row r="42">
      <c r="A42" s="11">
        <f>Inputs!A5</f>
        <v/>
      </c>
      <c r="B42" s="11">
        <f>Blocks!B6</f>
        <v/>
      </c>
      <c r="C42" s="11">
        <f>Blocks!C6</f>
        <v/>
      </c>
      <c r="D42" s="11">
        <f>Blocks!D6</f>
        <v/>
      </c>
      <c r="E42" s="5">
        <f>IFERROR(INDEX(Team!$B$2:$B$60,MATCH(D42,Team!$A$2:$A$60,0)),"(assign)")</f>
        <v/>
      </c>
      <c r="F42" s="11">
        <f>Blocks!E6</f>
        <v/>
      </c>
      <c r="G42" s="12">
        <f>IF(Inputs!E5="",MAX(WORKDAY(H41,1,Holidays!$A$2:$A$60)),Inputs!E5)</f>
        <v/>
      </c>
      <c r="H42" s="12">
        <f>IF(F42=0,G42,WORKDAY(G42,F42-1,Holidays!$A$2:$A$60))</f>
        <v/>
      </c>
      <c r="I42" s="12" t="n"/>
      <c r="J42" s="12" t="n"/>
      <c r="K42" s="13" t="n"/>
      <c r="L42" s="11">
        <f>IF(Blocks!H6="","",Blocks!H6)</f>
        <v/>
      </c>
    </row>
    <row r="43">
      <c r="A43" s="11">
        <f>Inputs!A5</f>
        <v/>
      </c>
      <c r="B43" s="11">
        <f>Blocks!B7</f>
        <v/>
      </c>
      <c r="C43" s="11">
        <f>Blocks!C7</f>
        <v/>
      </c>
      <c r="D43" s="11">
        <f>Blocks!D7</f>
        <v/>
      </c>
      <c r="E43" s="5">
        <f>IFERROR(INDEX(Team!$B$2:$B$60,MATCH(D43,Team!$A$2:$A$60,0)),"(assign)")</f>
        <v/>
      </c>
      <c r="F43" s="11">
        <f>Blocks!E7</f>
        <v/>
      </c>
      <c r="G43" s="12">
        <f>MAX(Inputs!F5,WORKDAY(H41,1,Holidays!$A$2:$A$60),WORKDAY(H42,1,Holidays!$A$2:$A$60))</f>
        <v/>
      </c>
      <c r="H43" s="12">
        <f>IF(F43=0,G43,WORKDAY(G43,F43-1,Holidays!$A$2:$A$60))</f>
        <v/>
      </c>
      <c r="I43" s="14" t="n">
        <v>46308</v>
      </c>
      <c r="J43" s="14" t="n">
        <v>46308</v>
      </c>
      <c r="K43" s="13">
        <f>IF(J43="","",H43-J43)</f>
        <v/>
      </c>
      <c r="L43" s="11">
        <f>IF(Blocks!H7="","",Blocks!H7)</f>
        <v/>
      </c>
    </row>
    <row r="44">
      <c r="A44" s="11">
        <f>Inputs!A5</f>
        <v/>
      </c>
      <c r="B44" s="11">
        <f>Blocks!B8</f>
        <v/>
      </c>
      <c r="C44" s="11">
        <f>Blocks!C8</f>
        <v/>
      </c>
      <c r="D44" s="11">
        <f>Blocks!D8</f>
        <v/>
      </c>
      <c r="E44" s="5">
        <f>IFERROR(INDEX(Team!$B$2:$B$60,MATCH(D44,Team!$A$2:$A$60,0)),"(assign)")</f>
        <v/>
      </c>
      <c r="F44" s="11">
        <f>Blocks!E8</f>
        <v/>
      </c>
      <c r="G44" s="12">
        <f>MAX(WORKDAY(H43,1,Holidays!$A$2:$A$60))</f>
        <v/>
      </c>
      <c r="H44" s="12">
        <f>IF(F44=0,G44,WORKDAY(G44,F44-1,Holidays!$A$2:$A$60))</f>
        <v/>
      </c>
      <c r="I44" s="14" t="n">
        <v>46309</v>
      </c>
      <c r="J44" s="14" t="n">
        <v>46321</v>
      </c>
      <c r="K44" s="13">
        <f>IF(J44="","",H44-J44)</f>
        <v/>
      </c>
      <c r="L44" s="11">
        <f>IF(Blocks!H8="","",Blocks!H8)</f>
        <v/>
      </c>
    </row>
    <row r="45">
      <c r="A45" s="11">
        <f>Inputs!A5</f>
        <v/>
      </c>
      <c r="B45" s="11">
        <f>Blocks!B9</f>
        <v/>
      </c>
      <c r="C45" s="11">
        <f>Blocks!C9</f>
        <v/>
      </c>
      <c r="D45" s="11">
        <f>Blocks!D9</f>
        <v/>
      </c>
      <c r="E45" s="5">
        <f>IFERROR(INDEX(Team!$B$2:$B$60,MATCH(D45,Team!$A$2:$A$60,0)),"(assign)")</f>
        <v/>
      </c>
      <c r="F45" s="11">
        <f>Blocks!E9</f>
        <v/>
      </c>
      <c r="G45" s="12">
        <f>MAX(WORKDAY(H44,1,Holidays!$A$2:$A$60))</f>
        <v/>
      </c>
      <c r="H45" s="12">
        <f>IF(F45=0,G45,WORKDAY(G45,F45-1,Holidays!$A$2:$A$60))</f>
        <v/>
      </c>
      <c r="I45" s="14" t="n">
        <v>46322</v>
      </c>
      <c r="J45" s="14" t="n">
        <v>46322</v>
      </c>
      <c r="K45" s="13">
        <f>IF(J45="","",H45-J45)</f>
        <v/>
      </c>
      <c r="L45" s="11">
        <f>IF(Blocks!H9="","",Blocks!H9)</f>
        <v/>
      </c>
    </row>
    <row r="46">
      <c r="A46" s="11">
        <f>Inputs!A5</f>
        <v/>
      </c>
      <c r="B46" s="11">
        <f>Blocks!B10</f>
        <v/>
      </c>
      <c r="C46" s="11">
        <f>Blocks!C10</f>
        <v/>
      </c>
      <c r="D46" s="11">
        <f>Blocks!D10</f>
        <v/>
      </c>
      <c r="E46" s="5">
        <f>IFERROR(INDEX(Team!$B$2:$B$60,MATCH(D46,Team!$A$2:$A$60,0)),"(assign)")</f>
        <v/>
      </c>
      <c r="F46" s="11">
        <f>Blocks!E10</f>
        <v/>
      </c>
      <c r="G46" s="12">
        <f>G45</f>
        <v/>
      </c>
      <c r="H46" s="12">
        <f>IF(F46=0,G46,WORKDAY(G46,F46-1,Holidays!$A$2:$A$60))</f>
        <v/>
      </c>
      <c r="I46" s="12" t="n"/>
      <c r="J46" s="12" t="n"/>
      <c r="K46" s="13" t="n"/>
      <c r="L46" s="11">
        <f>IF(Blocks!H10="","",Blocks!H10)</f>
        <v/>
      </c>
    </row>
    <row r="47">
      <c r="A47" s="11">
        <f>Inputs!A5</f>
        <v/>
      </c>
      <c r="B47" s="11">
        <f>Blocks!B11</f>
        <v/>
      </c>
      <c r="C47" s="11">
        <f>Blocks!C11</f>
        <v/>
      </c>
      <c r="D47" s="11">
        <f>Blocks!D11</f>
        <v/>
      </c>
      <c r="E47" s="5">
        <f>IFERROR(INDEX(Team!$B$2:$B$60,MATCH(D47,Team!$A$2:$A$60,0)),"(assign)")</f>
        <v/>
      </c>
      <c r="F47" s="11">
        <f>Blocks!E11</f>
        <v/>
      </c>
      <c r="G47" s="12">
        <f>MAX(WORKDAY(H45,1,Holidays!$A$2:$A$60))</f>
        <v/>
      </c>
      <c r="H47" s="12">
        <f>IF(F47=0,G47,WORKDAY(G47,F47-1,Holidays!$A$2:$A$60))</f>
        <v/>
      </c>
      <c r="I47" s="14" t="n">
        <v>46323</v>
      </c>
      <c r="J47" s="14" t="n">
        <v>46324</v>
      </c>
      <c r="K47" s="13">
        <f>IF(J47="","",H47-J47)</f>
        <v/>
      </c>
      <c r="L47" s="11">
        <f>IF(Blocks!H11="","",Blocks!H11)</f>
        <v/>
      </c>
    </row>
    <row r="48">
      <c r="A48" s="11">
        <f>Inputs!A5</f>
        <v/>
      </c>
      <c r="B48" s="11">
        <f>Blocks!B12</f>
        <v/>
      </c>
      <c r="C48" s="11">
        <f>Blocks!C12</f>
        <v/>
      </c>
      <c r="D48" s="11">
        <f>Blocks!D12</f>
        <v/>
      </c>
      <c r="E48" s="5">
        <f>IFERROR(INDEX(Team!$B$2:$B$60,MATCH(D48,Team!$A$2:$A$60,0)),"(assign)")</f>
        <v/>
      </c>
      <c r="F48" s="11">
        <f>Blocks!E12</f>
        <v/>
      </c>
      <c r="G48" s="12">
        <f>MAX(WORKDAY(H45,1,Holidays!$A$2:$A$60))</f>
        <v/>
      </c>
      <c r="H48" s="12">
        <f>IF(F48=0,G48,WORKDAY(G48,F48-1,Holidays!$A$2:$A$60))</f>
        <v/>
      </c>
      <c r="I48" s="14" t="n">
        <v>46323</v>
      </c>
      <c r="J48" s="14" t="n">
        <v>46328</v>
      </c>
      <c r="K48" s="13">
        <f>IF(J48="","",H48-J48)</f>
        <v/>
      </c>
      <c r="L48" s="11">
        <f>IF(Blocks!H12="","",Blocks!H12)</f>
        <v/>
      </c>
    </row>
    <row r="49">
      <c r="A49" s="11">
        <f>Inputs!A5</f>
        <v/>
      </c>
      <c r="B49" s="11">
        <f>Blocks!B13</f>
        <v/>
      </c>
      <c r="C49" s="11">
        <f>Blocks!C13</f>
        <v/>
      </c>
      <c r="D49" s="11">
        <f>Blocks!D13</f>
        <v/>
      </c>
      <c r="E49" s="5">
        <f>IFERROR(INDEX(Team!$B$2:$B$60,MATCH(D49,Team!$A$2:$A$60,0)),"(assign)")</f>
        <v/>
      </c>
      <c r="F49" s="11">
        <f>Blocks!E13</f>
        <v/>
      </c>
      <c r="G49" s="12">
        <f>MAX(H46,H47,H48)</f>
        <v/>
      </c>
      <c r="H49" s="12">
        <f>IF(F49=0,G49,WORKDAY(G49,F49-1,Holidays!$A$2:$A$60))</f>
        <v/>
      </c>
      <c r="I49" s="12" t="n"/>
      <c r="J49" s="12" t="n"/>
      <c r="K49" s="13" t="n"/>
      <c r="L49" s="11">
        <f>IF(Blocks!H13="","",Blocks!H13)</f>
        <v/>
      </c>
    </row>
    <row r="50">
      <c r="A50" s="7">
        <f>Inputs!A6</f>
        <v/>
      </c>
      <c r="B50" s="8" t="n"/>
      <c r="C50" s="8">
        <f>Inputs!B6&amp;": Mold "&amp;Inputs!A6&amp;" ("&amp;Inputs!C6&amp;")"</f>
        <v/>
      </c>
      <c r="D50" s="8" t="n"/>
      <c r="E50" s="8" t="n"/>
      <c r="F50" s="8" t="n"/>
      <c r="G50" s="9">
        <f>MIN(G51:G61)</f>
        <v/>
      </c>
      <c r="H50" s="9">
        <f>MAX(H51:H61)</f>
        <v/>
      </c>
      <c r="I50" s="9" t="n"/>
      <c r="J50" s="9" t="n"/>
      <c r="K50" s="10" t="n"/>
      <c r="L50" s="8" t="n"/>
    </row>
    <row r="51">
      <c r="A51" s="11">
        <f>Inputs!A6</f>
        <v/>
      </c>
      <c r="B51" s="11">
        <f>Blocks!B3</f>
        <v/>
      </c>
      <c r="C51" s="11">
        <f>Blocks!C3</f>
        <v/>
      </c>
      <c r="D51" s="11">
        <f>Blocks!D3</f>
        <v/>
      </c>
      <c r="E51" s="5">
        <f>IFERROR(INDEX(Team!$B$2:$B$60,MATCH(D51,Team!$A$2:$A$60,0)),"(assign)")</f>
        <v/>
      </c>
      <c r="F51" s="11">
        <f>Blocks!E3</f>
        <v/>
      </c>
      <c r="G51" s="12">
        <f>WORKDAY(G53,-F51,Holidays!$A$2:$A$60)</f>
        <v/>
      </c>
      <c r="H51" s="12">
        <f>IF(F51=0,G51,WORKDAY(G51,F51-1,Holidays!$A$2:$A$60))</f>
        <v/>
      </c>
      <c r="I51" s="12" t="n"/>
      <c r="J51" s="12" t="n"/>
      <c r="K51" s="13" t="n"/>
      <c r="L51" s="11">
        <f>IF(Blocks!H3="","",Blocks!H3)</f>
        <v/>
      </c>
    </row>
    <row r="52">
      <c r="A52" s="11">
        <f>Inputs!A6</f>
        <v/>
      </c>
      <c r="B52" s="11">
        <f>Blocks!B4</f>
        <v/>
      </c>
      <c r="C52" s="11">
        <f>Blocks!C4</f>
        <v/>
      </c>
      <c r="D52" s="11">
        <f>Blocks!D4</f>
        <v/>
      </c>
      <c r="E52" s="5">
        <f>IFERROR(INDEX(Team!$B$2:$B$60,MATCH(D52,Team!$A$2:$A$60,0)),"(assign)")</f>
        <v/>
      </c>
      <c r="F52" s="11">
        <f>Blocks!E4</f>
        <v/>
      </c>
      <c r="G52" s="12">
        <f>Inputs!D6</f>
        <v/>
      </c>
      <c r="H52" s="12">
        <f>IF(F52=0,G52,WORKDAY(G52,F52-1,Holidays!$A$2:$A$60))</f>
        <v/>
      </c>
      <c r="I52" s="12" t="n"/>
      <c r="J52" s="12" t="n"/>
      <c r="K52" s="13" t="n"/>
      <c r="L52" s="11">
        <f>IF(Blocks!H4="","",Blocks!H4)</f>
        <v/>
      </c>
    </row>
    <row r="53">
      <c r="A53" s="11">
        <f>Inputs!A6</f>
        <v/>
      </c>
      <c r="B53" s="11">
        <f>Blocks!B5</f>
        <v/>
      </c>
      <c r="C53" s="11">
        <f>Blocks!C5</f>
        <v/>
      </c>
      <c r="D53" s="11">
        <f>Blocks!D5</f>
        <v/>
      </c>
      <c r="E53" s="5">
        <f>IFERROR(INDEX(Team!$B$2:$B$60,MATCH(D53,Team!$A$2:$A$60,0)),"(assign)")</f>
        <v/>
      </c>
      <c r="F53" s="11">
        <f>Blocks!E5</f>
        <v/>
      </c>
      <c r="G53" s="12">
        <f>MAX(WORKDAY(H52,1,Holidays!$A$2:$A$60))</f>
        <v/>
      </c>
      <c r="H53" s="12">
        <f>IF(F53=0,G53,WORKDAY(G53,F53-1,Holidays!$A$2:$A$60))</f>
        <v/>
      </c>
      <c r="I53" s="14" t="n">
        <v>46247</v>
      </c>
      <c r="J53" s="14" t="n">
        <v>46248</v>
      </c>
      <c r="K53" s="13">
        <f>IF(J53="","",H53-J53)</f>
        <v/>
      </c>
      <c r="L53" s="11">
        <f>IF(Blocks!H5="","",Blocks!H5)</f>
        <v/>
      </c>
    </row>
    <row r="54">
      <c r="A54" s="11">
        <f>Inputs!A6</f>
        <v/>
      </c>
      <c r="B54" s="11">
        <f>Blocks!B6</f>
        <v/>
      </c>
      <c r="C54" s="11">
        <f>Blocks!C6</f>
        <v/>
      </c>
      <c r="D54" s="11">
        <f>Blocks!D6</f>
        <v/>
      </c>
      <c r="E54" s="5">
        <f>IFERROR(INDEX(Team!$B$2:$B$60,MATCH(D54,Team!$A$2:$A$60,0)),"(assign)")</f>
        <v/>
      </c>
      <c r="F54" s="11">
        <f>Blocks!E6</f>
        <v/>
      </c>
      <c r="G54" s="12">
        <f>IF(Inputs!E6="",MAX(WORKDAY(H53,1,Holidays!$A$2:$A$60)),Inputs!E6)</f>
        <v/>
      </c>
      <c r="H54" s="12">
        <f>IF(F54=0,G54,WORKDAY(G54,F54-1,Holidays!$A$2:$A$60))</f>
        <v/>
      </c>
      <c r="I54" s="12" t="n"/>
      <c r="J54" s="12" t="n"/>
      <c r="K54" s="13" t="n"/>
      <c r="L54" s="11">
        <f>IF(Blocks!H6="","",Blocks!H6)</f>
        <v/>
      </c>
    </row>
    <row r="55">
      <c r="A55" s="11">
        <f>Inputs!A6</f>
        <v/>
      </c>
      <c r="B55" s="11">
        <f>Blocks!B7</f>
        <v/>
      </c>
      <c r="C55" s="11">
        <f>Blocks!C7</f>
        <v/>
      </c>
      <c r="D55" s="11">
        <f>Blocks!D7</f>
        <v/>
      </c>
      <c r="E55" s="5">
        <f>IFERROR(INDEX(Team!$B$2:$B$60,MATCH(D55,Team!$A$2:$A$60,0)),"(assign)")</f>
        <v/>
      </c>
      <c r="F55" s="11">
        <f>Blocks!E7</f>
        <v/>
      </c>
      <c r="G55" s="12">
        <f>MAX(Inputs!F6,WORKDAY(H53,1,Holidays!$A$2:$A$60),WORKDAY(H54,1,Holidays!$A$2:$A$60))</f>
        <v/>
      </c>
      <c r="H55" s="12">
        <f>IF(F55=0,G55,WORKDAY(G55,F55-1,Holidays!$A$2:$A$60))</f>
        <v/>
      </c>
      <c r="I55" s="12" t="n"/>
      <c r="J55" s="12" t="n"/>
      <c r="K55" s="13" t="n"/>
      <c r="L55" s="11">
        <f>IF(Blocks!H7="","",Blocks!H7)</f>
        <v/>
      </c>
    </row>
    <row r="56">
      <c r="A56" s="11">
        <f>Inputs!A6</f>
        <v/>
      </c>
      <c r="B56" s="11">
        <f>Blocks!B8</f>
        <v/>
      </c>
      <c r="C56" s="11">
        <f>Blocks!C8</f>
        <v/>
      </c>
      <c r="D56" s="11">
        <f>Blocks!D8</f>
        <v/>
      </c>
      <c r="E56" s="5">
        <f>IFERROR(INDEX(Team!$B$2:$B$60,MATCH(D56,Team!$A$2:$A$60,0)),"(assign)")</f>
        <v/>
      </c>
      <c r="F56" s="11">
        <f>Blocks!E8</f>
        <v/>
      </c>
      <c r="G56" s="12">
        <f>MAX(WORKDAY(H55,1,Holidays!$A$2:$A$60))</f>
        <v/>
      </c>
      <c r="H56" s="12">
        <f>IF(F56=0,G56,WORKDAY(G56,F56-1,Holidays!$A$2:$A$60))</f>
        <v/>
      </c>
      <c r="I56" s="14" t="n">
        <v>46300</v>
      </c>
      <c r="J56" s="14" t="n">
        <v>46308</v>
      </c>
      <c r="K56" s="13">
        <f>IF(J56="","",H56-J56)</f>
        <v/>
      </c>
      <c r="L56" s="11">
        <f>IF(Blocks!H8="","",Blocks!H8)</f>
        <v/>
      </c>
    </row>
    <row r="57">
      <c r="A57" s="11">
        <f>Inputs!A6</f>
        <v/>
      </c>
      <c r="B57" s="11">
        <f>Blocks!B9</f>
        <v/>
      </c>
      <c r="C57" s="11">
        <f>Blocks!C9</f>
        <v/>
      </c>
      <c r="D57" s="11">
        <f>Blocks!D9</f>
        <v/>
      </c>
      <c r="E57" s="5">
        <f>IFERROR(INDEX(Team!$B$2:$B$60,MATCH(D57,Team!$A$2:$A$60,0)),"(assign)")</f>
        <v/>
      </c>
      <c r="F57" s="11">
        <f>Blocks!E9</f>
        <v/>
      </c>
      <c r="G57" s="12">
        <f>MAX(WORKDAY(H56,1,Holidays!$A$2:$A$60))</f>
        <v/>
      </c>
      <c r="H57" s="12">
        <f>IF(F57=0,G57,WORKDAY(G57,F57-1,Holidays!$A$2:$A$60))</f>
        <v/>
      </c>
      <c r="I57" s="14" t="n">
        <v>46309</v>
      </c>
      <c r="J57" s="14" t="n">
        <v>46309</v>
      </c>
      <c r="K57" s="13">
        <f>IF(J57="","",H57-J57)</f>
        <v/>
      </c>
      <c r="L57" s="11">
        <f>IF(Blocks!H9="","",Blocks!H9)</f>
        <v/>
      </c>
    </row>
    <row r="58">
      <c r="A58" s="11">
        <f>Inputs!A6</f>
        <v/>
      </c>
      <c r="B58" s="11">
        <f>Blocks!B10</f>
        <v/>
      </c>
      <c r="C58" s="11">
        <f>Blocks!C10</f>
        <v/>
      </c>
      <c r="D58" s="11">
        <f>Blocks!D10</f>
        <v/>
      </c>
      <c r="E58" s="5">
        <f>IFERROR(INDEX(Team!$B$2:$B$60,MATCH(D58,Team!$A$2:$A$60,0)),"(assign)")</f>
        <v/>
      </c>
      <c r="F58" s="11">
        <f>Blocks!E10</f>
        <v/>
      </c>
      <c r="G58" s="12">
        <f>G57</f>
        <v/>
      </c>
      <c r="H58" s="12">
        <f>IF(F58=0,G58,WORKDAY(G58,F58-1,Holidays!$A$2:$A$60))</f>
        <v/>
      </c>
      <c r="I58" s="12" t="n"/>
      <c r="J58" s="12" t="n"/>
      <c r="K58" s="13" t="n"/>
      <c r="L58" s="11">
        <f>IF(Blocks!H10="","",Blocks!H10)</f>
        <v/>
      </c>
    </row>
    <row r="59">
      <c r="A59" s="11">
        <f>Inputs!A6</f>
        <v/>
      </c>
      <c r="B59" s="11">
        <f>Blocks!B11</f>
        <v/>
      </c>
      <c r="C59" s="11">
        <f>Blocks!C11</f>
        <v/>
      </c>
      <c r="D59" s="11">
        <f>Blocks!D11</f>
        <v/>
      </c>
      <c r="E59" s="5">
        <f>IFERROR(INDEX(Team!$B$2:$B$60,MATCH(D59,Team!$A$2:$A$60,0)),"(assign)")</f>
        <v/>
      </c>
      <c r="F59" s="11">
        <f>Blocks!E11</f>
        <v/>
      </c>
      <c r="G59" s="12">
        <f>MAX(WORKDAY(H57,1,Holidays!$A$2:$A$60))</f>
        <v/>
      </c>
      <c r="H59" s="12">
        <f>IF(F59=0,G59,WORKDAY(G59,F59-1,Holidays!$A$2:$A$60))</f>
        <v/>
      </c>
      <c r="I59" s="14" t="n">
        <v>46310</v>
      </c>
      <c r="J59" s="14" t="n">
        <v>46311</v>
      </c>
      <c r="K59" s="13">
        <f>IF(J59="","",H59-J59)</f>
        <v/>
      </c>
      <c r="L59" s="11">
        <f>IF(Blocks!H11="","",Blocks!H11)</f>
        <v/>
      </c>
    </row>
    <row r="60">
      <c r="A60" s="11">
        <f>Inputs!A6</f>
        <v/>
      </c>
      <c r="B60" s="11">
        <f>Blocks!B12</f>
        <v/>
      </c>
      <c r="C60" s="11">
        <f>Blocks!C12</f>
        <v/>
      </c>
      <c r="D60" s="11">
        <f>Blocks!D12</f>
        <v/>
      </c>
      <c r="E60" s="5">
        <f>IFERROR(INDEX(Team!$B$2:$B$60,MATCH(D60,Team!$A$2:$A$60,0)),"(assign)")</f>
        <v/>
      </c>
      <c r="F60" s="11">
        <f>Blocks!E12</f>
        <v/>
      </c>
      <c r="G60" s="12">
        <f>MAX(WORKDAY(H57,1,Holidays!$A$2:$A$60))</f>
        <v/>
      </c>
      <c r="H60" s="12">
        <f>IF(F60=0,G60,WORKDAY(G60,F60-1,Holidays!$A$2:$A$60))</f>
        <v/>
      </c>
      <c r="I60" s="14" t="n">
        <v>46310</v>
      </c>
      <c r="J60" s="14" t="n">
        <v>46315</v>
      </c>
      <c r="K60" s="13">
        <f>IF(J60="","",H60-J60)</f>
        <v/>
      </c>
      <c r="L60" s="11">
        <f>IF(Blocks!H12="","",Blocks!H12)</f>
        <v/>
      </c>
    </row>
    <row r="61">
      <c r="A61" s="11">
        <f>Inputs!A6</f>
        <v/>
      </c>
      <c r="B61" s="11">
        <f>Blocks!B13</f>
        <v/>
      </c>
      <c r="C61" s="11">
        <f>Blocks!C13</f>
        <v/>
      </c>
      <c r="D61" s="11">
        <f>Blocks!D13</f>
        <v/>
      </c>
      <c r="E61" s="5">
        <f>IFERROR(INDEX(Team!$B$2:$B$60,MATCH(D61,Team!$A$2:$A$60,0)),"(assign)")</f>
        <v/>
      </c>
      <c r="F61" s="11">
        <f>Blocks!E13</f>
        <v/>
      </c>
      <c r="G61" s="12">
        <f>MAX(H58,H59,H60)</f>
        <v/>
      </c>
      <c r="H61" s="12">
        <f>IF(F61=0,G61,WORKDAY(G61,F61-1,Holidays!$A$2:$A$60))</f>
        <v/>
      </c>
      <c r="I61" s="12" t="n"/>
      <c r="J61" s="12" t="n"/>
      <c r="K61" s="13" t="n"/>
      <c r="L61" s="11">
        <f>IF(Blocks!H13="","",Blocks!H13)</f>
        <v/>
      </c>
    </row>
    <row r="62">
      <c r="A62" s="7">
        <f>Inputs!A7</f>
        <v/>
      </c>
      <c r="B62" s="8" t="n"/>
      <c r="C62" s="8">
        <f>Inputs!B7&amp;": Mold "&amp;Inputs!A7&amp;" ("&amp;Inputs!C7&amp;")"</f>
        <v/>
      </c>
      <c r="D62" s="8" t="n"/>
      <c r="E62" s="8" t="n"/>
      <c r="F62" s="8" t="n"/>
      <c r="G62" s="9">
        <f>MIN(G63:G73)</f>
        <v/>
      </c>
      <c r="H62" s="9">
        <f>MAX(H63:H73)</f>
        <v/>
      </c>
      <c r="I62" s="9" t="n"/>
      <c r="J62" s="9" t="n"/>
      <c r="K62" s="10" t="n"/>
      <c r="L62" s="8" t="n"/>
    </row>
    <row r="63">
      <c r="A63" s="11">
        <f>Inputs!A7</f>
        <v/>
      </c>
      <c r="B63" s="11">
        <f>Blocks!B3</f>
        <v/>
      </c>
      <c r="C63" s="11">
        <f>Blocks!C3</f>
        <v/>
      </c>
      <c r="D63" s="11">
        <f>Blocks!D3</f>
        <v/>
      </c>
      <c r="E63" s="5">
        <f>IFERROR(INDEX(Team!$B$2:$B$60,MATCH(D63,Team!$A$2:$A$60,0)),"(assign)")</f>
        <v/>
      </c>
      <c r="F63" s="11">
        <f>Blocks!E3</f>
        <v/>
      </c>
      <c r="G63" s="12">
        <f>WORKDAY(G65,-F63,Holidays!$A$2:$A$60)</f>
        <v/>
      </c>
      <c r="H63" s="12">
        <f>IF(F63=0,G63,WORKDAY(G63,F63-1,Holidays!$A$2:$A$60))</f>
        <v/>
      </c>
      <c r="I63" s="12" t="n"/>
      <c r="J63" s="12" t="n"/>
      <c r="K63" s="13" t="n"/>
      <c r="L63" s="11">
        <f>IF(Blocks!H3="","",Blocks!H3)</f>
        <v/>
      </c>
    </row>
    <row r="64">
      <c r="A64" s="11">
        <f>Inputs!A7</f>
        <v/>
      </c>
      <c r="B64" s="11">
        <f>Blocks!B4</f>
        <v/>
      </c>
      <c r="C64" s="11">
        <f>Blocks!C4</f>
        <v/>
      </c>
      <c r="D64" s="11">
        <f>Blocks!D4</f>
        <v/>
      </c>
      <c r="E64" s="5">
        <f>IFERROR(INDEX(Team!$B$2:$B$60,MATCH(D64,Team!$A$2:$A$60,0)),"(assign)")</f>
        <v/>
      </c>
      <c r="F64" s="11">
        <f>Blocks!E4</f>
        <v/>
      </c>
      <c r="G64" s="12">
        <f>Inputs!D7</f>
        <v/>
      </c>
      <c r="H64" s="12">
        <f>IF(F64=0,G64,WORKDAY(G64,F64-1,Holidays!$A$2:$A$60))</f>
        <v/>
      </c>
      <c r="I64" s="12" t="n"/>
      <c r="J64" s="12" t="n"/>
      <c r="K64" s="13" t="n"/>
      <c r="L64" s="11">
        <f>IF(Blocks!H4="","",Blocks!H4)</f>
        <v/>
      </c>
    </row>
    <row r="65">
      <c r="A65" s="11">
        <f>Inputs!A7</f>
        <v/>
      </c>
      <c r="B65" s="11">
        <f>Blocks!B5</f>
        <v/>
      </c>
      <c r="C65" s="11">
        <f>Blocks!C5</f>
        <v/>
      </c>
      <c r="D65" s="11">
        <f>Blocks!D5</f>
        <v/>
      </c>
      <c r="E65" s="5">
        <f>IFERROR(INDEX(Team!$B$2:$B$60,MATCH(D65,Team!$A$2:$A$60,0)),"(assign)")</f>
        <v/>
      </c>
      <c r="F65" s="11">
        <f>Blocks!E5</f>
        <v/>
      </c>
      <c r="G65" s="12">
        <f>MAX(WORKDAY(H64,1,Holidays!$A$2:$A$60))</f>
        <v/>
      </c>
      <c r="H65" s="12">
        <f>IF(F65=0,G65,WORKDAY(G65,F65-1,Holidays!$A$2:$A$60))</f>
        <v/>
      </c>
      <c r="I65" s="14" t="n">
        <v>46265</v>
      </c>
      <c r="J65" s="14" t="n">
        <v>46266</v>
      </c>
      <c r="K65" s="13">
        <f>IF(J65="","",H65-J65)</f>
        <v/>
      </c>
      <c r="L65" s="11">
        <f>IF(Blocks!H5="","",Blocks!H5)</f>
        <v/>
      </c>
    </row>
    <row r="66">
      <c r="A66" s="11">
        <f>Inputs!A7</f>
        <v/>
      </c>
      <c r="B66" s="11">
        <f>Blocks!B6</f>
        <v/>
      </c>
      <c r="C66" s="11">
        <f>Blocks!C6</f>
        <v/>
      </c>
      <c r="D66" s="11">
        <f>Blocks!D6</f>
        <v/>
      </c>
      <c r="E66" s="5">
        <f>IFERROR(INDEX(Team!$B$2:$B$60,MATCH(D66,Team!$A$2:$A$60,0)),"(assign)")</f>
        <v/>
      </c>
      <c r="F66" s="11">
        <f>Blocks!E6</f>
        <v/>
      </c>
      <c r="G66" s="12">
        <f>IF(Inputs!E7="",MAX(WORKDAY(H65,1,Holidays!$A$2:$A$60)),Inputs!E7)</f>
        <v/>
      </c>
      <c r="H66" s="12">
        <f>IF(F66=0,G66,WORKDAY(G66,F66-1,Holidays!$A$2:$A$60))</f>
        <v/>
      </c>
      <c r="I66" s="12" t="n"/>
      <c r="J66" s="12" t="n"/>
      <c r="K66" s="13" t="n"/>
      <c r="L66" s="11">
        <f>IF(Blocks!H6="","",Blocks!H6)</f>
        <v/>
      </c>
    </row>
    <row r="67">
      <c r="A67" s="11">
        <f>Inputs!A7</f>
        <v/>
      </c>
      <c r="B67" s="11">
        <f>Blocks!B7</f>
        <v/>
      </c>
      <c r="C67" s="11">
        <f>Blocks!C7</f>
        <v/>
      </c>
      <c r="D67" s="11">
        <f>Blocks!D7</f>
        <v/>
      </c>
      <c r="E67" s="5">
        <f>IFERROR(INDEX(Team!$B$2:$B$60,MATCH(D67,Team!$A$2:$A$60,0)),"(assign)")</f>
        <v/>
      </c>
      <c r="F67" s="11">
        <f>Blocks!E7</f>
        <v/>
      </c>
      <c r="G67" s="12">
        <f>MAX(Inputs!F7,WORKDAY(H65,1,Holidays!$A$2:$A$60),WORKDAY(H66,1,Holidays!$A$2:$A$60))</f>
        <v/>
      </c>
      <c r="H67" s="12">
        <f>IF(F67=0,G67,WORKDAY(G67,F67-1,Holidays!$A$2:$A$60))</f>
        <v/>
      </c>
      <c r="I67" s="14" t="n">
        <v>46310</v>
      </c>
      <c r="J67" s="14" t="n">
        <v>46310</v>
      </c>
      <c r="K67" s="13">
        <f>IF(J67="","",H67-J67)</f>
        <v/>
      </c>
      <c r="L67" s="11">
        <f>IF(Blocks!H7="","",Blocks!H7)</f>
        <v/>
      </c>
    </row>
    <row r="68">
      <c r="A68" s="11">
        <f>Inputs!A7</f>
        <v/>
      </c>
      <c r="B68" s="11">
        <f>Blocks!B8</f>
        <v/>
      </c>
      <c r="C68" s="11">
        <f>Blocks!C8</f>
        <v/>
      </c>
      <c r="D68" s="11">
        <f>Blocks!D8</f>
        <v/>
      </c>
      <c r="E68" s="5">
        <f>IFERROR(INDEX(Team!$B$2:$B$60,MATCH(D68,Team!$A$2:$A$60,0)),"(assign)")</f>
        <v/>
      </c>
      <c r="F68" s="11">
        <f>Blocks!E8</f>
        <v/>
      </c>
      <c r="G68" s="12">
        <f>MAX(WORKDAY(H67,1,Holidays!$A$2:$A$60))</f>
        <v/>
      </c>
      <c r="H68" s="12">
        <f>IF(F68=0,G68,WORKDAY(G68,F68-1,Holidays!$A$2:$A$60))</f>
        <v/>
      </c>
      <c r="I68" s="14" t="n">
        <v>46311</v>
      </c>
      <c r="J68" s="14" t="n">
        <v>46323</v>
      </c>
      <c r="K68" s="13">
        <f>IF(J68="","",H68-J68)</f>
        <v/>
      </c>
      <c r="L68" s="11">
        <f>IF(Blocks!H8="","",Blocks!H8)</f>
        <v/>
      </c>
    </row>
    <row r="69">
      <c r="A69" s="11">
        <f>Inputs!A7</f>
        <v/>
      </c>
      <c r="B69" s="11">
        <f>Blocks!B9</f>
        <v/>
      </c>
      <c r="C69" s="11">
        <f>Blocks!C9</f>
        <v/>
      </c>
      <c r="D69" s="11">
        <f>Blocks!D9</f>
        <v/>
      </c>
      <c r="E69" s="5">
        <f>IFERROR(INDEX(Team!$B$2:$B$60,MATCH(D69,Team!$A$2:$A$60,0)),"(assign)")</f>
        <v/>
      </c>
      <c r="F69" s="11">
        <f>Blocks!E9</f>
        <v/>
      </c>
      <c r="G69" s="12">
        <f>MAX(WORKDAY(H68,1,Holidays!$A$2:$A$60))</f>
        <v/>
      </c>
      <c r="H69" s="12">
        <f>IF(F69=0,G69,WORKDAY(G69,F69-1,Holidays!$A$2:$A$60))</f>
        <v/>
      </c>
      <c r="I69" s="14" t="n">
        <v>46324</v>
      </c>
      <c r="J69" s="14" t="n">
        <v>46324</v>
      </c>
      <c r="K69" s="13">
        <f>IF(J69="","",H69-J69)</f>
        <v/>
      </c>
      <c r="L69" s="11">
        <f>IF(Blocks!H9="","",Blocks!H9)</f>
        <v/>
      </c>
    </row>
    <row r="70">
      <c r="A70" s="11">
        <f>Inputs!A7</f>
        <v/>
      </c>
      <c r="B70" s="11">
        <f>Blocks!B10</f>
        <v/>
      </c>
      <c r="C70" s="11">
        <f>Blocks!C10</f>
        <v/>
      </c>
      <c r="D70" s="11">
        <f>Blocks!D10</f>
        <v/>
      </c>
      <c r="E70" s="5">
        <f>IFERROR(INDEX(Team!$B$2:$B$60,MATCH(D70,Team!$A$2:$A$60,0)),"(assign)")</f>
        <v/>
      </c>
      <c r="F70" s="11">
        <f>Blocks!E10</f>
        <v/>
      </c>
      <c r="G70" s="12">
        <f>G69</f>
        <v/>
      </c>
      <c r="H70" s="12">
        <f>IF(F70=0,G70,WORKDAY(G70,F70-1,Holidays!$A$2:$A$60))</f>
        <v/>
      </c>
      <c r="I70" s="12" t="n"/>
      <c r="J70" s="12" t="n"/>
      <c r="K70" s="13" t="n"/>
      <c r="L70" s="11">
        <f>IF(Blocks!H10="","",Blocks!H10)</f>
        <v/>
      </c>
    </row>
    <row r="71">
      <c r="A71" s="11">
        <f>Inputs!A7</f>
        <v/>
      </c>
      <c r="B71" s="11">
        <f>Blocks!B11</f>
        <v/>
      </c>
      <c r="C71" s="11">
        <f>Blocks!C11</f>
        <v/>
      </c>
      <c r="D71" s="11">
        <f>Blocks!D11</f>
        <v/>
      </c>
      <c r="E71" s="5">
        <f>IFERROR(INDEX(Team!$B$2:$B$60,MATCH(D71,Team!$A$2:$A$60,0)),"(assign)")</f>
        <v/>
      </c>
      <c r="F71" s="11">
        <f>Blocks!E11</f>
        <v/>
      </c>
      <c r="G71" s="12">
        <f>MAX(WORKDAY(H69,1,Holidays!$A$2:$A$60))</f>
        <v/>
      </c>
      <c r="H71" s="12">
        <f>IF(F71=0,G71,WORKDAY(G71,F71-1,Holidays!$A$2:$A$60))</f>
        <v/>
      </c>
      <c r="I71" s="14" t="n">
        <v>46325</v>
      </c>
      <c r="J71" s="14" t="n">
        <v>46331</v>
      </c>
      <c r="K71" s="13">
        <f>IF(J71="","",H71-J71)</f>
        <v/>
      </c>
      <c r="L71" s="11">
        <f>IF(Blocks!H11="","",Blocks!H11)</f>
        <v/>
      </c>
    </row>
    <row r="72">
      <c r="A72" s="11">
        <f>Inputs!A7</f>
        <v/>
      </c>
      <c r="B72" s="11">
        <f>Blocks!B12</f>
        <v/>
      </c>
      <c r="C72" s="11">
        <f>Blocks!C12</f>
        <v/>
      </c>
      <c r="D72" s="11">
        <f>Blocks!D12</f>
        <v/>
      </c>
      <c r="E72" s="5">
        <f>IFERROR(INDEX(Team!$B$2:$B$60,MATCH(D72,Team!$A$2:$A$60,0)),"(assign)")</f>
        <v/>
      </c>
      <c r="F72" s="11">
        <f>Blocks!E12</f>
        <v/>
      </c>
      <c r="G72" s="12">
        <f>MAX(WORKDAY(H69,1,Holidays!$A$2:$A$60))</f>
        <v/>
      </c>
      <c r="H72" s="12">
        <f>IF(F72=0,G72,WORKDAY(G72,F72-1,Holidays!$A$2:$A$60))</f>
        <v/>
      </c>
      <c r="I72" s="14" t="n">
        <v>46325</v>
      </c>
      <c r="J72" s="14" t="n">
        <v>46330</v>
      </c>
      <c r="K72" s="13">
        <f>IF(J72="","",H72-J72)</f>
        <v/>
      </c>
      <c r="L72" s="11">
        <f>IF(Blocks!H12="","",Blocks!H12)</f>
        <v/>
      </c>
    </row>
    <row r="73">
      <c r="A73" s="11">
        <f>Inputs!A7</f>
        <v/>
      </c>
      <c r="B73" s="11">
        <f>Blocks!B13</f>
        <v/>
      </c>
      <c r="C73" s="11">
        <f>Blocks!C13</f>
        <v/>
      </c>
      <c r="D73" s="11">
        <f>Blocks!D13</f>
        <v/>
      </c>
      <c r="E73" s="5">
        <f>IFERROR(INDEX(Team!$B$2:$B$60,MATCH(D73,Team!$A$2:$A$60,0)),"(assign)")</f>
        <v/>
      </c>
      <c r="F73" s="11">
        <f>Blocks!E13</f>
        <v/>
      </c>
      <c r="G73" s="12">
        <f>MAX(H70,H71,H72)</f>
        <v/>
      </c>
      <c r="H73" s="12">
        <f>IF(F73=0,G73,WORKDAY(G73,F73-1,Holidays!$A$2:$A$60))</f>
        <v/>
      </c>
      <c r="I73" s="12" t="n"/>
      <c r="J73" s="12" t="n"/>
      <c r="K73" s="13" t="n"/>
      <c r="L73" s="11">
        <f>IF(Blocks!H13="","",Blocks!H13)</f>
        <v/>
      </c>
    </row>
    <row r="74">
      <c r="A74" s="7">
        <f>Inputs!A8</f>
        <v/>
      </c>
      <c r="B74" s="8" t="n"/>
      <c r="C74" s="8">
        <f>Inputs!B8&amp;": Mold "&amp;Inputs!A8&amp;" ("&amp;Inputs!C8&amp;")"</f>
        <v/>
      </c>
      <c r="D74" s="8" t="n"/>
      <c r="E74" s="8" t="n"/>
      <c r="F74" s="8" t="n"/>
      <c r="G74" s="9">
        <f>MIN(G75:G85)</f>
        <v/>
      </c>
      <c r="H74" s="9">
        <f>MAX(H75:H85)</f>
        <v/>
      </c>
      <c r="I74" s="9" t="n"/>
      <c r="J74" s="9" t="n"/>
      <c r="K74" s="10" t="n"/>
      <c r="L74" s="8" t="n"/>
    </row>
    <row r="75">
      <c r="A75" s="11">
        <f>Inputs!A8</f>
        <v/>
      </c>
      <c r="B75" s="11">
        <f>Blocks!B3</f>
        <v/>
      </c>
      <c r="C75" s="11">
        <f>Blocks!C3</f>
        <v/>
      </c>
      <c r="D75" s="11">
        <f>Blocks!D3</f>
        <v/>
      </c>
      <c r="E75" s="5">
        <f>IFERROR(INDEX(Team!$B$2:$B$60,MATCH(D75,Team!$A$2:$A$60,0)),"(assign)")</f>
        <v/>
      </c>
      <c r="F75" s="11">
        <f>Blocks!E3</f>
        <v/>
      </c>
      <c r="G75" s="12">
        <f>WORKDAY(G77,-F75,Holidays!$A$2:$A$60)</f>
        <v/>
      </c>
      <c r="H75" s="12">
        <f>IF(F75=0,G75,WORKDAY(G75,F75-1,Holidays!$A$2:$A$60))</f>
        <v/>
      </c>
      <c r="I75" s="12" t="n"/>
      <c r="J75" s="12" t="n"/>
      <c r="K75" s="13" t="n"/>
      <c r="L75" s="11">
        <f>IF(Blocks!H3="","",Blocks!H3)</f>
        <v/>
      </c>
    </row>
    <row r="76">
      <c r="A76" s="11">
        <f>Inputs!A8</f>
        <v/>
      </c>
      <c r="B76" s="11">
        <f>Blocks!B4</f>
        <v/>
      </c>
      <c r="C76" s="11">
        <f>Blocks!C4</f>
        <v/>
      </c>
      <c r="D76" s="11">
        <f>Blocks!D4</f>
        <v/>
      </c>
      <c r="E76" s="5">
        <f>IFERROR(INDEX(Team!$B$2:$B$60,MATCH(D76,Team!$A$2:$A$60,0)),"(assign)")</f>
        <v/>
      </c>
      <c r="F76" s="11">
        <f>Blocks!E4</f>
        <v/>
      </c>
      <c r="G76" s="12">
        <f>Inputs!D8</f>
        <v/>
      </c>
      <c r="H76" s="12">
        <f>IF(F76=0,G76,WORKDAY(G76,F76-1,Holidays!$A$2:$A$60))</f>
        <v/>
      </c>
      <c r="I76" s="12" t="n"/>
      <c r="J76" s="12" t="n"/>
      <c r="K76" s="13" t="n"/>
      <c r="L76" s="11">
        <f>IF(Blocks!H4="","",Blocks!H4)</f>
        <v/>
      </c>
    </row>
    <row r="77">
      <c r="A77" s="11">
        <f>Inputs!A8</f>
        <v/>
      </c>
      <c r="B77" s="11">
        <f>Blocks!B5</f>
        <v/>
      </c>
      <c r="C77" s="11">
        <f>Blocks!C5</f>
        <v/>
      </c>
      <c r="D77" s="11">
        <f>Blocks!D5</f>
        <v/>
      </c>
      <c r="E77" s="5">
        <f>IFERROR(INDEX(Team!$B$2:$B$60,MATCH(D77,Team!$A$2:$A$60,0)),"(assign)")</f>
        <v/>
      </c>
      <c r="F77" s="11">
        <f>Blocks!E5</f>
        <v/>
      </c>
      <c r="G77" s="12">
        <f>MAX(WORKDAY(H76,1,Holidays!$A$2:$A$60))</f>
        <v/>
      </c>
      <c r="H77" s="12">
        <f>IF(F77=0,G77,WORKDAY(G77,F77-1,Holidays!$A$2:$A$60))</f>
        <v/>
      </c>
      <c r="I77" s="14" t="n">
        <v>46265</v>
      </c>
      <c r="J77" s="14" t="n">
        <v>46266</v>
      </c>
      <c r="K77" s="13">
        <f>IF(J77="","",H77-J77)</f>
        <v/>
      </c>
      <c r="L77" s="11">
        <f>IF(Blocks!H5="","",Blocks!H5)</f>
        <v/>
      </c>
    </row>
    <row r="78">
      <c r="A78" s="11">
        <f>Inputs!A8</f>
        <v/>
      </c>
      <c r="B78" s="11">
        <f>Blocks!B6</f>
        <v/>
      </c>
      <c r="C78" s="11">
        <f>Blocks!C6</f>
        <v/>
      </c>
      <c r="D78" s="11">
        <f>Blocks!D6</f>
        <v/>
      </c>
      <c r="E78" s="5">
        <f>IFERROR(INDEX(Team!$B$2:$B$60,MATCH(D78,Team!$A$2:$A$60,0)),"(assign)")</f>
        <v/>
      </c>
      <c r="F78" s="11">
        <f>Blocks!E6</f>
        <v/>
      </c>
      <c r="G78" s="12">
        <f>IF(Inputs!E8="",MAX(WORKDAY(H77,1,Holidays!$A$2:$A$60)),Inputs!E8)</f>
        <v/>
      </c>
      <c r="H78" s="12">
        <f>IF(F78=0,G78,WORKDAY(G78,F78-1,Holidays!$A$2:$A$60))</f>
        <v/>
      </c>
      <c r="I78" s="12" t="n"/>
      <c r="J78" s="12" t="n"/>
      <c r="K78" s="13" t="n"/>
      <c r="L78" s="11">
        <f>IF(Blocks!H6="","",Blocks!H6)</f>
        <v/>
      </c>
    </row>
    <row r="79">
      <c r="A79" s="11">
        <f>Inputs!A8</f>
        <v/>
      </c>
      <c r="B79" s="11">
        <f>Blocks!B7</f>
        <v/>
      </c>
      <c r="C79" s="11">
        <f>Blocks!C7</f>
        <v/>
      </c>
      <c r="D79" s="11">
        <f>Blocks!D7</f>
        <v/>
      </c>
      <c r="E79" s="5">
        <f>IFERROR(INDEX(Team!$B$2:$B$60,MATCH(D79,Team!$A$2:$A$60,0)),"(assign)")</f>
        <v/>
      </c>
      <c r="F79" s="11">
        <f>Blocks!E7</f>
        <v/>
      </c>
      <c r="G79" s="12">
        <f>MAX(Inputs!F8,WORKDAY(H77,1,Holidays!$A$2:$A$60),WORKDAY(H78,1,Holidays!$A$2:$A$60))</f>
        <v/>
      </c>
      <c r="H79" s="12">
        <f>IF(F79=0,G79,WORKDAY(G79,F79-1,Holidays!$A$2:$A$60))</f>
        <v/>
      </c>
      <c r="I79" s="14" t="n">
        <v>46311</v>
      </c>
      <c r="J79" s="14" t="n">
        <v>46311</v>
      </c>
      <c r="K79" s="13">
        <f>IF(J79="","",H79-J79)</f>
        <v/>
      </c>
      <c r="L79" s="11">
        <f>IF(Blocks!H7="","",Blocks!H7)</f>
        <v/>
      </c>
    </row>
    <row r="80">
      <c r="A80" s="11">
        <f>Inputs!A8</f>
        <v/>
      </c>
      <c r="B80" s="11">
        <f>Blocks!B8</f>
        <v/>
      </c>
      <c r="C80" s="11">
        <f>Blocks!C8</f>
        <v/>
      </c>
      <c r="D80" s="11">
        <f>Blocks!D8</f>
        <v/>
      </c>
      <c r="E80" s="5">
        <f>IFERROR(INDEX(Team!$B$2:$B$60,MATCH(D80,Team!$A$2:$A$60,0)),"(assign)")</f>
        <v/>
      </c>
      <c r="F80" s="11">
        <f>Blocks!E8</f>
        <v/>
      </c>
      <c r="G80" s="12">
        <f>MAX(WORKDAY(H79,1,Holidays!$A$2:$A$60))</f>
        <v/>
      </c>
      <c r="H80" s="12">
        <f>IF(F80=0,G80,WORKDAY(G80,F80-1,Holidays!$A$2:$A$60))</f>
        <v/>
      </c>
      <c r="I80" s="14" t="n">
        <v>46314</v>
      </c>
      <c r="J80" s="14" t="n">
        <v>46324</v>
      </c>
      <c r="K80" s="13">
        <f>IF(J80="","",H80-J80)</f>
        <v/>
      </c>
      <c r="L80" s="11">
        <f>IF(Blocks!H8="","",Blocks!H8)</f>
        <v/>
      </c>
    </row>
    <row r="81">
      <c r="A81" s="11">
        <f>Inputs!A8</f>
        <v/>
      </c>
      <c r="B81" s="11">
        <f>Blocks!B9</f>
        <v/>
      </c>
      <c r="C81" s="11">
        <f>Blocks!C9</f>
        <v/>
      </c>
      <c r="D81" s="11">
        <f>Blocks!D9</f>
        <v/>
      </c>
      <c r="E81" s="5">
        <f>IFERROR(INDEX(Team!$B$2:$B$60,MATCH(D81,Team!$A$2:$A$60,0)),"(assign)")</f>
        <v/>
      </c>
      <c r="F81" s="11">
        <f>Blocks!E9</f>
        <v/>
      </c>
      <c r="G81" s="12">
        <f>MAX(WORKDAY(H80,1,Holidays!$A$2:$A$60))</f>
        <v/>
      </c>
      <c r="H81" s="12">
        <f>IF(F81=0,G81,WORKDAY(G81,F81-1,Holidays!$A$2:$A$60))</f>
        <v/>
      </c>
      <c r="I81" s="14" t="n">
        <v>46325</v>
      </c>
      <c r="J81" s="14" t="n">
        <v>46325</v>
      </c>
      <c r="K81" s="13">
        <f>IF(J81="","",H81-J81)</f>
        <v/>
      </c>
      <c r="L81" s="11">
        <f>IF(Blocks!H9="","",Blocks!H9)</f>
        <v/>
      </c>
    </row>
    <row r="82">
      <c r="A82" s="11">
        <f>Inputs!A8</f>
        <v/>
      </c>
      <c r="B82" s="11">
        <f>Blocks!B10</f>
        <v/>
      </c>
      <c r="C82" s="11">
        <f>Blocks!C10</f>
        <v/>
      </c>
      <c r="D82" s="11">
        <f>Blocks!D10</f>
        <v/>
      </c>
      <c r="E82" s="5">
        <f>IFERROR(INDEX(Team!$B$2:$B$60,MATCH(D82,Team!$A$2:$A$60,0)),"(assign)")</f>
        <v/>
      </c>
      <c r="F82" s="11">
        <f>Blocks!E10</f>
        <v/>
      </c>
      <c r="G82" s="12">
        <f>G81</f>
        <v/>
      </c>
      <c r="H82" s="12">
        <f>IF(F82=0,G82,WORKDAY(G82,F82-1,Holidays!$A$2:$A$60))</f>
        <v/>
      </c>
      <c r="I82" s="12" t="n"/>
      <c r="J82" s="12" t="n"/>
      <c r="K82" s="13" t="n"/>
      <c r="L82" s="11">
        <f>IF(Blocks!H10="","",Blocks!H10)</f>
        <v/>
      </c>
    </row>
    <row r="83">
      <c r="A83" s="11">
        <f>Inputs!A8</f>
        <v/>
      </c>
      <c r="B83" s="11">
        <f>Blocks!B11</f>
        <v/>
      </c>
      <c r="C83" s="11">
        <f>Blocks!C11</f>
        <v/>
      </c>
      <c r="D83" s="11">
        <f>Blocks!D11</f>
        <v/>
      </c>
      <c r="E83" s="5">
        <f>IFERROR(INDEX(Team!$B$2:$B$60,MATCH(D83,Team!$A$2:$A$60,0)),"(assign)")</f>
        <v/>
      </c>
      <c r="F83" s="11">
        <f>Blocks!E11</f>
        <v/>
      </c>
      <c r="G83" s="12">
        <f>MAX(WORKDAY(H81,1,Holidays!$A$2:$A$60))</f>
        <v/>
      </c>
      <c r="H83" s="12">
        <f>IF(F83=0,G83,WORKDAY(G83,F83-1,Holidays!$A$2:$A$60))</f>
        <v/>
      </c>
      <c r="I83" s="14" t="n">
        <v>46328</v>
      </c>
      <c r="J83" s="14" t="n">
        <v>46329</v>
      </c>
      <c r="K83" s="13">
        <f>IF(J83="","",H83-J83)</f>
        <v/>
      </c>
      <c r="L83" s="11">
        <f>IF(Blocks!H11="","",Blocks!H11)</f>
        <v/>
      </c>
    </row>
    <row r="84">
      <c r="A84" s="11">
        <f>Inputs!A8</f>
        <v/>
      </c>
      <c r="B84" s="11">
        <f>Blocks!B12</f>
        <v/>
      </c>
      <c r="C84" s="11">
        <f>Blocks!C12</f>
        <v/>
      </c>
      <c r="D84" s="11">
        <f>Blocks!D12</f>
        <v/>
      </c>
      <c r="E84" s="5">
        <f>IFERROR(INDEX(Team!$B$2:$B$60,MATCH(D84,Team!$A$2:$A$60,0)),"(assign)")</f>
        <v/>
      </c>
      <c r="F84" s="11">
        <f>Blocks!E12</f>
        <v/>
      </c>
      <c r="G84" s="12">
        <f>MAX(WORKDAY(H81,1,Holidays!$A$2:$A$60))</f>
        <v/>
      </c>
      <c r="H84" s="12">
        <f>IF(F84=0,G84,WORKDAY(G84,F84-1,Holidays!$A$2:$A$60))</f>
        <v/>
      </c>
      <c r="I84" s="14" t="n">
        <v>46328</v>
      </c>
      <c r="J84" s="14" t="n">
        <v>46331</v>
      </c>
      <c r="K84" s="13">
        <f>IF(J84="","",H84-J84)</f>
        <v/>
      </c>
      <c r="L84" s="11">
        <f>IF(Blocks!H12="","",Blocks!H12)</f>
        <v/>
      </c>
    </row>
    <row r="85">
      <c r="A85" s="11">
        <f>Inputs!A8</f>
        <v/>
      </c>
      <c r="B85" s="11">
        <f>Blocks!B13</f>
        <v/>
      </c>
      <c r="C85" s="11">
        <f>Blocks!C13</f>
        <v/>
      </c>
      <c r="D85" s="11">
        <f>Blocks!D13</f>
        <v/>
      </c>
      <c r="E85" s="5">
        <f>IFERROR(INDEX(Team!$B$2:$B$60,MATCH(D85,Team!$A$2:$A$60,0)),"(assign)")</f>
        <v/>
      </c>
      <c r="F85" s="11">
        <f>Blocks!E13</f>
        <v/>
      </c>
      <c r="G85" s="12">
        <f>MAX(H82,H83,H84)</f>
        <v/>
      </c>
      <c r="H85" s="12">
        <f>IF(F85=0,G85,WORKDAY(G85,F85-1,Holidays!$A$2:$A$60))</f>
        <v/>
      </c>
      <c r="I85" s="12" t="n"/>
      <c r="J85" s="12" t="n"/>
      <c r="K85" s="13" t="n"/>
      <c r="L85" s="11">
        <f>IF(Blocks!H13="","",Blocks!H13)</f>
        <v/>
      </c>
    </row>
    <row r="86">
      <c r="A86" s="7">
        <f>Inputs!A9</f>
        <v/>
      </c>
      <c r="B86" s="8" t="n"/>
      <c r="C86" s="8">
        <f>Inputs!B9&amp;": Mold "&amp;Inputs!A9&amp;" ("&amp;Inputs!C9&amp;")"</f>
        <v/>
      </c>
      <c r="D86" s="8" t="n"/>
      <c r="E86" s="8" t="n"/>
      <c r="F86" s="8" t="n"/>
      <c r="G86" s="9">
        <f>MIN(G87:G97)</f>
        <v/>
      </c>
      <c r="H86" s="9">
        <f>MAX(H87:H97)</f>
        <v/>
      </c>
      <c r="I86" s="9" t="n"/>
      <c r="J86" s="9" t="n"/>
      <c r="K86" s="10" t="n"/>
      <c r="L86" s="8" t="n"/>
    </row>
    <row r="87">
      <c r="A87" s="11">
        <f>Inputs!A9</f>
        <v/>
      </c>
      <c r="B87" s="11">
        <f>Blocks!B3</f>
        <v/>
      </c>
      <c r="C87" s="11">
        <f>Blocks!C3</f>
        <v/>
      </c>
      <c r="D87" s="11">
        <f>Blocks!D3</f>
        <v/>
      </c>
      <c r="E87" s="5">
        <f>IFERROR(INDEX(Team!$B$2:$B$60,MATCH(D87,Team!$A$2:$A$60,0)),"(assign)")</f>
        <v/>
      </c>
      <c r="F87" s="11">
        <f>Blocks!E3</f>
        <v/>
      </c>
      <c r="G87" s="12">
        <f>WORKDAY(G89,-F87,Holidays!$A$2:$A$60)</f>
        <v/>
      </c>
      <c r="H87" s="12">
        <f>IF(F87=0,G87,WORKDAY(G87,F87-1,Holidays!$A$2:$A$60))</f>
        <v/>
      </c>
      <c r="I87" s="12" t="n"/>
      <c r="J87" s="12" t="n"/>
      <c r="K87" s="13" t="n"/>
      <c r="L87" s="11">
        <f>IF(Blocks!H3="","",Blocks!H3)</f>
        <v/>
      </c>
    </row>
    <row r="88">
      <c r="A88" s="11">
        <f>Inputs!A9</f>
        <v/>
      </c>
      <c r="B88" s="11">
        <f>Blocks!B4</f>
        <v/>
      </c>
      <c r="C88" s="11">
        <f>Blocks!C4</f>
        <v/>
      </c>
      <c r="D88" s="11">
        <f>Blocks!D4</f>
        <v/>
      </c>
      <c r="E88" s="5">
        <f>IFERROR(INDEX(Team!$B$2:$B$60,MATCH(D88,Team!$A$2:$A$60,0)),"(assign)")</f>
        <v/>
      </c>
      <c r="F88" s="11">
        <f>Blocks!E4</f>
        <v/>
      </c>
      <c r="G88" s="12">
        <f>Inputs!D9</f>
        <v/>
      </c>
      <c r="H88" s="12">
        <f>IF(F88=0,G88,WORKDAY(G88,F88-1,Holidays!$A$2:$A$60))</f>
        <v/>
      </c>
      <c r="I88" s="12" t="n"/>
      <c r="J88" s="12" t="n"/>
      <c r="K88" s="13" t="n"/>
      <c r="L88" s="11">
        <f>IF(Blocks!H4="","",Blocks!H4)</f>
        <v/>
      </c>
    </row>
    <row r="89">
      <c r="A89" s="11">
        <f>Inputs!A9</f>
        <v/>
      </c>
      <c r="B89" s="11">
        <f>Blocks!B5</f>
        <v/>
      </c>
      <c r="C89" s="11">
        <f>Blocks!C5</f>
        <v/>
      </c>
      <c r="D89" s="11">
        <f>Blocks!D5</f>
        <v/>
      </c>
      <c r="E89" s="5">
        <f>IFERROR(INDEX(Team!$B$2:$B$60,MATCH(D89,Team!$A$2:$A$60,0)),"(assign)")</f>
        <v/>
      </c>
      <c r="F89" s="11">
        <f>Blocks!E5</f>
        <v/>
      </c>
      <c r="G89" s="12">
        <f>MAX(WORKDAY(H88,1,Holidays!$A$2:$A$60))</f>
        <v/>
      </c>
      <c r="H89" s="12">
        <f>IF(F89=0,G89,WORKDAY(G89,F89-1,Holidays!$A$2:$A$60))</f>
        <v/>
      </c>
      <c r="I89" s="14" t="n">
        <v>46253</v>
      </c>
      <c r="J89" s="14" t="n">
        <v>46254</v>
      </c>
      <c r="K89" s="13">
        <f>IF(J89="","",H89-J89)</f>
        <v/>
      </c>
      <c r="L89" s="11">
        <f>IF(Blocks!H5="","",Blocks!H5)</f>
        <v/>
      </c>
    </row>
    <row r="90">
      <c r="A90" s="11">
        <f>Inputs!A9</f>
        <v/>
      </c>
      <c r="B90" s="11">
        <f>Blocks!B6</f>
        <v/>
      </c>
      <c r="C90" s="11">
        <f>Blocks!C6</f>
        <v/>
      </c>
      <c r="D90" s="11">
        <f>Blocks!D6</f>
        <v/>
      </c>
      <c r="E90" s="5">
        <f>IFERROR(INDEX(Team!$B$2:$B$60,MATCH(D90,Team!$A$2:$A$60,0)),"(assign)")</f>
        <v/>
      </c>
      <c r="F90" s="11">
        <f>Blocks!E6</f>
        <v/>
      </c>
      <c r="G90" s="12">
        <f>IF(Inputs!E9="",MAX(WORKDAY(H89,1,Holidays!$A$2:$A$60)),Inputs!E9)</f>
        <v/>
      </c>
      <c r="H90" s="12">
        <f>IF(F90=0,G90,WORKDAY(G90,F90-1,Holidays!$A$2:$A$60))</f>
        <v/>
      </c>
      <c r="I90" s="12" t="n"/>
      <c r="J90" s="12" t="n"/>
      <c r="K90" s="13" t="n"/>
      <c r="L90" s="11">
        <f>IF(Blocks!H6="","",Blocks!H6)</f>
        <v/>
      </c>
    </row>
    <row r="91">
      <c r="A91" s="11">
        <f>Inputs!A9</f>
        <v/>
      </c>
      <c r="B91" s="11">
        <f>Blocks!B7</f>
        <v/>
      </c>
      <c r="C91" s="11">
        <f>Blocks!C7</f>
        <v/>
      </c>
      <c r="D91" s="11">
        <f>Blocks!D7</f>
        <v/>
      </c>
      <c r="E91" s="5">
        <f>IFERROR(INDEX(Team!$B$2:$B$60,MATCH(D91,Team!$A$2:$A$60,0)),"(assign)")</f>
        <v/>
      </c>
      <c r="F91" s="11">
        <f>Blocks!E7</f>
        <v/>
      </c>
      <c r="G91" s="12">
        <f>MAX(Inputs!F9,WORKDAY(H89,1,Holidays!$A$2:$A$60),WORKDAY(H90,1,Holidays!$A$2:$A$60))</f>
        <v/>
      </c>
      <c r="H91" s="12">
        <f>IF(F91=0,G91,WORKDAY(G91,F91-1,Holidays!$A$2:$A$60))</f>
        <v/>
      </c>
      <c r="I91" s="14" t="n">
        <v>46315</v>
      </c>
      <c r="J91" s="14" t="n">
        <v>46315</v>
      </c>
      <c r="K91" s="13">
        <f>IF(J91="","",H91-J91)</f>
        <v/>
      </c>
      <c r="L91" s="11">
        <f>IF(Blocks!H7="","",Blocks!H7)</f>
        <v/>
      </c>
    </row>
    <row r="92">
      <c r="A92" s="11">
        <f>Inputs!A9</f>
        <v/>
      </c>
      <c r="B92" s="11">
        <f>Blocks!B8</f>
        <v/>
      </c>
      <c r="C92" s="11">
        <f>Blocks!C8</f>
        <v/>
      </c>
      <c r="D92" s="11">
        <f>Blocks!D8</f>
        <v/>
      </c>
      <c r="E92" s="5">
        <f>IFERROR(INDEX(Team!$B$2:$B$60,MATCH(D92,Team!$A$2:$A$60,0)),"(assign)")</f>
        <v/>
      </c>
      <c r="F92" s="11">
        <f>Blocks!E8</f>
        <v/>
      </c>
      <c r="G92" s="12">
        <f>MAX(WORKDAY(H91,1,Holidays!$A$2:$A$60))</f>
        <v/>
      </c>
      <c r="H92" s="12">
        <f>IF(F92=0,G92,WORKDAY(G92,F92-1,Holidays!$A$2:$A$60))</f>
        <v/>
      </c>
      <c r="I92" s="14" t="n">
        <v>46316</v>
      </c>
      <c r="J92" s="14" t="n">
        <v>46328</v>
      </c>
      <c r="K92" s="13">
        <f>IF(J92="","",H92-J92)</f>
        <v/>
      </c>
      <c r="L92" s="11">
        <f>IF(Blocks!H8="","",Blocks!H8)</f>
        <v/>
      </c>
    </row>
    <row r="93">
      <c r="A93" s="11">
        <f>Inputs!A9</f>
        <v/>
      </c>
      <c r="B93" s="11">
        <f>Blocks!B9</f>
        <v/>
      </c>
      <c r="C93" s="11">
        <f>Blocks!C9</f>
        <v/>
      </c>
      <c r="D93" s="11">
        <f>Blocks!D9</f>
        <v/>
      </c>
      <c r="E93" s="5">
        <f>IFERROR(INDEX(Team!$B$2:$B$60,MATCH(D93,Team!$A$2:$A$60,0)),"(assign)")</f>
        <v/>
      </c>
      <c r="F93" s="11">
        <f>Blocks!E9</f>
        <v/>
      </c>
      <c r="G93" s="12">
        <f>MAX(WORKDAY(H92,1,Holidays!$A$2:$A$60))</f>
        <v/>
      </c>
      <c r="H93" s="12">
        <f>IF(F93=0,G93,WORKDAY(G93,F93-1,Holidays!$A$2:$A$60))</f>
        <v/>
      </c>
      <c r="I93" s="14" t="n">
        <v>46329</v>
      </c>
      <c r="J93" s="14" t="n">
        <v>46329</v>
      </c>
      <c r="K93" s="13">
        <f>IF(J93="","",H93-J93)</f>
        <v/>
      </c>
      <c r="L93" s="11">
        <f>IF(Blocks!H9="","",Blocks!H9)</f>
        <v/>
      </c>
    </row>
    <row r="94">
      <c r="A94" s="11">
        <f>Inputs!A9</f>
        <v/>
      </c>
      <c r="B94" s="11">
        <f>Blocks!B10</f>
        <v/>
      </c>
      <c r="C94" s="11">
        <f>Blocks!C10</f>
        <v/>
      </c>
      <c r="D94" s="11">
        <f>Blocks!D10</f>
        <v/>
      </c>
      <c r="E94" s="5">
        <f>IFERROR(INDEX(Team!$B$2:$B$60,MATCH(D94,Team!$A$2:$A$60,0)),"(assign)")</f>
        <v/>
      </c>
      <c r="F94" s="11">
        <f>Blocks!E10</f>
        <v/>
      </c>
      <c r="G94" s="12">
        <f>G93</f>
        <v/>
      </c>
      <c r="H94" s="12">
        <f>IF(F94=0,G94,WORKDAY(G94,F94-1,Holidays!$A$2:$A$60))</f>
        <v/>
      </c>
      <c r="I94" s="12" t="n"/>
      <c r="J94" s="12" t="n"/>
      <c r="K94" s="13" t="n"/>
      <c r="L94" s="11">
        <f>IF(Blocks!H10="","",Blocks!H10)</f>
        <v/>
      </c>
    </row>
    <row r="95">
      <c r="A95" s="11">
        <f>Inputs!A9</f>
        <v/>
      </c>
      <c r="B95" s="11">
        <f>Blocks!B11</f>
        <v/>
      </c>
      <c r="C95" s="11">
        <f>Blocks!C11</f>
        <v/>
      </c>
      <c r="D95" s="11">
        <f>Blocks!D11</f>
        <v/>
      </c>
      <c r="E95" s="5">
        <f>IFERROR(INDEX(Team!$B$2:$B$60,MATCH(D95,Team!$A$2:$A$60,0)),"(assign)")</f>
        <v/>
      </c>
      <c r="F95" s="11">
        <f>Blocks!E11</f>
        <v/>
      </c>
      <c r="G95" s="12">
        <f>MAX(WORKDAY(H93,1,Holidays!$A$2:$A$60))</f>
        <v/>
      </c>
      <c r="H95" s="12">
        <f>IF(F95=0,G95,WORKDAY(G95,F95-1,Holidays!$A$2:$A$60))</f>
        <v/>
      </c>
      <c r="I95" s="14" t="n">
        <v>46330</v>
      </c>
      <c r="J95" s="14" t="n">
        <v>46331</v>
      </c>
      <c r="K95" s="13">
        <f>IF(J95="","",H95-J95)</f>
        <v/>
      </c>
      <c r="L95" s="11">
        <f>IF(Blocks!H11="","",Blocks!H11)</f>
        <v/>
      </c>
    </row>
    <row r="96">
      <c r="A96" s="11">
        <f>Inputs!A9</f>
        <v/>
      </c>
      <c r="B96" s="11">
        <f>Blocks!B12</f>
        <v/>
      </c>
      <c r="C96" s="11">
        <f>Blocks!C12</f>
        <v/>
      </c>
      <c r="D96" s="11">
        <f>Blocks!D12</f>
        <v/>
      </c>
      <c r="E96" s="5">
        <f>IFERROR(INDEX(Team!$B$2:$B$60,MATCH(D96,Team!$A$2:$A$60,0)),"(assign)")</f>
        <v/>
      </c>
      <c r="F96" s="11">
        <f>Blocks!E12</f>
        <v/>
      </c>
      <c r="G96" s="12">
        <f>MAX(WORKDAY(H93,1,Holidays!$A$2:$A$60))</f>
        <v/>
      </c>
      <c r="H96" s="12">
        <f>IF(F96=0,G96,WORKDAY(G96,F96-1,Holidays!$A$2:$A$60))</f>
        <v/>
      </c>
      <c r="I96" s="14" t="n">
        <v>46330</v>
      </c>
      <c r="J96" s="14" t="n">
        <v>46335</v>
      </c>
      <c r="K96" s="13">
        <f>IF(J96="","",H96-J96)</f>
        <v/>
      </c>
      <c r="L96" s="11">
        <f>IF(Blocks!H12="","",Blocks!H12)</f>
        <v/>
      </c>
    </row>
    <row r="97">
      <c r="A97" s="11">
        <f>Inputs!A9</f>
        <v/>
      </c>
      <c r="B97" s="11">
        <f>Blocks!B13</f>
        <v/>
      </c>
      <c r="C97" s="11">
        <f>Blocks!C13</f>
        <v/>
      </c>
      <c r="D97" s="11">
        <f>Blocks!D13</f>
        <v/>
      </c>
      <c r="E97" s="5">
        <f>IFERROR(INDEX(Team!$B$2:$B$60,MATCH(D97,Team!$A$2:$A$60,0)),"(assign)")</f>
        <v/>
      </c>
      <c r="F97" s="11">
        <f>Blocks!E13</f>
        <v/>
      </c>
      <c r="G97" s="12">
        <f>MAX(H94,H95,H96)</f>
        <v/>
      </c>
      <c r="H97" s="12">
        <f>IF(F97=0,G97,WORKDAY(G97,F97-1,Holidays!$A$2:$A$60))</f>
        <v/>
      </c>
      <c r="I97" s="12" t="n"/>
      <c r="J97" s="12" t="n"/>
      <c r="K97" s="13" t="n"/>
      <c r="L97" s="11">
        <f>IF(Blocks!H13="","",Blocks!H13)</f>
        <v/>
      </c>
    </row>
    <row r="98">
      <c r="A98" s="7">
        <f>Inputs!A10</f>
        <v/>
      </c>
      <c r="B98" s="8" t="n"/>
      <c r="C98" s="8">
        <f>Inputs!B10&amp;": Mold "&amp;Inputs!A10&amp;" ("&amp;Inputs!C10&amp;")"</f>
        <v/>
      </c>
      <c r="D98" s="8" t="n"/>
      <c r="E98" s="8" t="n"/>
      <c r="F98" s="8" t="n"/>
      <c r="G98" s="9">
        <f>MIN(G99:G109)</f>
        <v/>
      </c>
      <c r="H98" s="9">
        <f>MAX(H99:H109)</f>
        <v/>
      </c>
      <c r="I98" s="9" t="n"/>
      <c r="J98" s="9" t="n"/>
      <c r="K98" s="10" t="n"/>
      <c r="L98" s="8" t="n"/>
    </row>
    <row r="99">
      <c r="A99" s="11">
        <f>Inputs!A10</f>
        <v/>
      </c>
      <c r="B99" s="11">
        <f>Blocks!B3</f>
        <v/>
      </c>
      <c r="C99" s="11">
        <f>Blocks!C3</f>
        <v/>
      </c>
      <c r="D99" s="11">
        <f>Blocks!D3</f>
        <v/>
      </c>
      <c r="E99" s="5">
        <f>IFERROR(INDEX(Team!$B$2:$B$60,MATCH(D99,Team!$A$2:$A$60,0)),"(assign)")</f>
        <v/>
      </c>
      <c r="F99" s="11">
        <f>Blocks!E3</f>
        <v/>
      </c>
      <c r="G99" s="12">
        <f>WORKDAY(G101,-F99,Holidays!$A$2:$A$60)</f>
        <v/>
      </c>
      <c r="H99" s="12">
        <f>IF(F99=0,G99,WORKDAY(G99,F99-1,Holidays!$A$2:$A$60))</f>
        <v/>
      </c>
      <c r="I99" s="12" t="n"/>
      <c r="J99" s="12" t="n"/>
      <c r="K99" s="13" t="n"/>
      <c r="L99" s="11">
        <f>IF(Blocks!H3="","",Blocks!H3)</f>
        <v/>
      </c>
    </row>
    <row r="100">
      <c r="A100" s="11">
        <f>Inputs!A10</f>
        <v/>
      </c>
      <c r="B100" s="11">
        <f>Blocks!B4</f>
        <v/>
      </c>
      <c r="C100" s="11">
        <f>Blocks!C4</f>
        <v/>
      </c>
      <c r="D100" s="11">
        <f>Blocks!D4</f>
        <v/>
      </c>
      <c r="E100" s="5">
        <f>IFERROR(INDEX(Team!$B$2:$B$60,MATCH(D100,Team!$A$2:$A$60,0)),"(assign)")</f>
        <v/>
      </c>
      <c r="F100" s="11">
        <f>Blocks!E4</f>
        <v/>
      </c>
      <c r="G100" s="12">
        <f>Inputs!D10</f>
        <v/>
      </c>
      <c r="H100" s="12">
        <f>IF(F100=0,G100,WORKDAY(G100,F100-1,Holidays!$A$2:$A$60))</f>
        <v/>
      </c>
      <c r="I100" s="12" t="n"/>
      <c r="J100" s="12" t="n"/>
      <c r="K100" s="13" t="n"/>
      <c r="L100" s="11">
        <f>IF(Blocks!H4="","",Blocks!H4)</f>
        <v/>
      </c>
    </row>
    <row r="101">
      <c r="A101" s="11">
        <f>Inputs!A10</f>
        <v/>
      </c>
      <c r="B101" s="11">
        <f>Blocks!B5</f>
        <v/>
      </c>
      <c r="C101" s="11">
        <f>Blocks!C5</f>
        <v/>
      </c>
      <c r="D101" s="11">
        <f>Blocks!D5</f>
        <v/>
      </c>
      <c r="E101" s="5">
        <f>IFERROR(INDEX(Team!$B$2:$B$60,MATCH(D101,Team!$A$2:$A$60,0)),"(assign)")</f>
        <v/>
      </c>
      <c r="F101" s="11">
        <f>Blocks!E5</f>
        <v/>
      </c>
      <c r="G101" s="12">
        <f>MAX(WORKDAY(H100,1,Holidays!$A$2:$A$60))</f>
        <v/>
      </c>
      <c r="H101" s="12">
        <f>IF(F101=0,G101,WORKDAY(G101,F101-1,Holidays!$A$2:$A$60))</f>
        <v/>
      </c>
      <c r="I101" s="14" t="n">
        <v>46267</v>
      </c>
      <c r="J101" s="14" t="n">
        <v>46268</v>
      </c>
      <c r="K101" s="13">
        <f>IF(J101="","",H101-J101)</f>
        <v/>
      </c>
      <c r="L101" s="11">
        <f>IF(Blocks!H5="","",Blocks!H5)</f>
        <v/>
      </c>
    </row>
    <row r="102">
      <c r="A102" s="11">
        <f>Inputs!A10</f>
        <v/>
      </c>
      <c r="B102" s="11">
        <f>Blocks!B6</f>
        <v/>
      </c>
      <c r="C102" s="11">
        <f>Blocks!C6</f>
        <v/>
      </c>
      <c r="D102" s="11">
        <f>Blocks!D6</f>
        <v/>
      </c>
      <c r="E102" s="5">
        <f>IFERROR(INDEX(Team!$B$2:$B$60,MATCH(D102,Team!$A$2:$A$60,0)),"(assign)")</f>
        <v/>
      </c>
      <c r="F102" s="11">
        <f>Blocks!E6</f>
        <v/>
      </c>
      <c r="G102" s="12">
        <f>IF(Inputs!E10="",MAX(WORKDAY(H101,1,Holidays!$A$2:$A$60)),Inputs!E10)</f>
        <v/>
      </c>
      <c r="H102" s="12">
        <f>IF(F102=0,G102,WORKDAY(G102,F102-1,Holidays!$A$2:$A$60))</f>
        <v/>
      </c>
      <c r="I102" s="12" t="n"/>
      <c r="J102" s="12" t="n"/>
      <c r="K102" s="13" t="n"/>
      <c r="L102" s="11">
        <f>IF(Blocks!H6="","",Blocks!H6)</f>
        <v/>
      </c>
    </row>
    <row r="103">
      <c r="A103" s="11">
        <f>Inputs!A10</f>
        <v/>
      </c>
      <c r="B103" s="11">
        <f>Blocks!B7</f>
        <v/>
      </c>
      <c r="C103" s="11">
        <f>Blocks!C7</f>
        <v/>
      </c>
      <c r="D103" s="11">
        <f>Blocks!D7</f>
        <v/>
      </c>
      <c r="E103" s="5">
        <f>IFERROR(INDEX(Team!$B$2:$B$60,MATCH(D103,Team!$A$2:$A$60,0)),"(assign)")</f>
        <v/>
      </c>
      <c r="F103" s="11">
        <f>Blocks!E7</f>
        <v/>
      </c>
      <c r="G103" s="12">
        <f>MAX(Inputs!F10,WORKDAY(H101,1,Holidays!$A$2:$A$60),WORKDAY(H102,1,Holidays!$A$2:$A$60))</f>
        <v/>
      </c>
      <c r="H103" s="12">
        <f>IF(F103=0,G103,WORKDAY(G103,F103-1,Holidays!$A$2:$A$60))</f>
        <v/>
      </c>
      <c r="I103" s="14" t="n">
        <v>46317</v>
      </c>
      <c r="J103" s="14" t="n">
        <v>46317</v>
      </c>
      <c r="K103" s="13">
        <f>IF(J103="","",H103-J103)</f>
        <v/>
      </c>
      <c r="L103" s="11">
        <f>IF(Blocks!H7="","",Blocks!H7)</f>
        <v/>
      </c>
    </row>
    <row r="104">
      <c r="A104" s="11">
        <f>Inputs!A10</f>
        <v/>
      </c>
      <c r="B104" s="11">
        <f>Blocks!B8</f>
        <v/>
      </c>
      <c r="C104" s="11">
        <f>Blocks!C8</f>
        <v/>
      </c>
      <c r="D104" s="11">
        <f>Blocks!D8</f>
        <v/>
      </c>
      <c r="E104" s="5">
        <f>IFERROR(INDEX(Team!$B$2:$B$60,MATCH(D104,Team!$A$2:$A$60,0)),"(assign)")</f>
        <v/>
      </c>
      <c r="F104" s="11">
        <f>Blocks!E8</f>
        <v/>
      </c>
      <c r="G104" s="12">
        <f>MAX(WORKDAY(H103,1,Holidays!$A$2:$A$60))</f>
        <v/>
      </c>
      <c r="H104" s="12">
        <f>IF(F104=0,G104,WORKDAY(G104,F104-1,Holidays!$A$2:$A$60))</f>
        <v/>
      </c>
      <c r="I104" s="14" t="n">
        <v>46318</v>
      </c>
      <c r="J104" s="14" t="n">
        <v>46330</v>
      </c>
      <c r="K104" s="13">
        <f>IF(J104="","",H104-J104)</f>
        <v/>
      </c>
      <c r="L104" s="11">
        <f>IF(Blocks!H8="","",Blocks!H8)</f>
        <v/>
      </c>
    </row>
    <row r="105">
      <c r="A105" s="11">
        <f>Inputs!A10</f>
        <v/>
      </c>
      <c r="B105" s="11">
        <f>Blocks!B9</f>
        <v/>
      </c>
      <c r="C105" s="11">
        <f>Blocks!C9</f>
        <v/>
      </c>
      <c r="D105" s="11">
        <f>Blocks!D9</f>
        <v/>
      </c>
      <c r="E105" s="5">
        <f>IFERROR(INDEX(Team!$B$2:$B$60,MATCH(D105,Team!$A$2:$A$60,0)),"(assign)")</f>
        <v/>
      </c>
      <c r="F105" s="11">
        <f>Blocks!E9</f>
        <v/>
      </c>
      <c r="G105" s="12">
        <f>MAX(WORKDAY(H104,1,Holidays!$A$2:$A$60))</f>
        <v/>
      </c>
      <c r="H105" s="12">
        <f>IF(F105=0,G105,WORKDAY(G105,F105-1,Holidays!$A$2:$A$60))</f>
        <v/>
      </c>
      <c r="I105" s="14" t="n">
        <v>46331</v>
      </c>
      <c r="J105" s="14" t="n">
        <v>46331</v>
      </c>
      <c r="K105" s="13">
        <f>IF(J105="","",H105-J105)</f>
        <v/>
      </c>
      <c r="L105" s="11">
        <f>IF(Blocks!H9="","",Blocks!H9)</f>
        <v/>
      </c>
    </row>
    <row r="106">
      <c r="A106" s="11">
        <f>Inputs!A10</f>
        <v/>
      </c>
      <c r="B106" s="11">
        <f>Blocks!B10</f>
        <v/>
      </c>
      <c r="C106" s="11">
        <f>Blocks!C10</f>
        <v/>
      </c>
      <c r="D106" s="11">
        <f>Blocks!D10</f>
        <v/>
      </c>
      <c r="E106" s="5">
        <f>IFERROR(INDEX(Team!$B$2:$B$60,MATCH(D106,Team!$A$2:$A$60,0)),"(assign)")</f>
        <v/>
      </c>
      <c r="F106" s="11">
        <f>Blocks!E10</f>
        <v/>
      </c>
      <c r="G106" s="12">
        <f>G105</f>
        <v/>
      </c>
      <c r="H106" s="12">
        <f>IF(F106=0,G106,WORKDAY(G106,F106-1,Holidays!$A$2:$A$60))</f>
        <v/>
      </c>
      <c r="I106" s="12" t="n"/>
      <c r="J106" s="12" t="n"/>
      <c r="K106" s="13" t="n"/>
      <c r="L106" s="11">
        <f>IF(Blocks!H10="","",Blocks!H10)</f>
        <v/>
      </c>
    </row>
    <row r="107">
      <c r="A107" s="11">
        <f>Inputs!A10</f>
        <v/>
      </c>
      <c r="B107" s="11">
        <f>Blocks!B11</f>
        <v/>
      </c>
      <c r="C107" s="11">
        <f>Blocks!C11</f>
        <v/>
      </c>
      <c r="D107" s="11">
        <f>Blocks!D11</f>
        <v/>
      </c>
      <c r="E107" s="5">
        <f>IFERROR(INDEX(Team!$B$2:$B$60,MATCH(D107,Team!$A$2:$A$60,0)),"(assign)")</f>
        <v/>
      </c>
      <c r="F107" s="11">
        <f>Blocks!E11</f>
        <v/>
      </c>
      <c r="G107" s="12">
        <f>MAX(WORKDAY(H105,1,Holidays!$A$2:$A$60))</f>
        <v/>
      </c>
      <c r="H107" s="12">
        <f>IF(F107=0,G107,WORKDAY(G107,F107-1,Holidays!$A$2:$A$60))</f>
        <v/>
      </c>
      <c r="I107" s="14" t="n">
        <v>46332</v>
      </c>
      <c r="J107" s="14" t="n">
        <v>46335</v>
      </c>
      <c r="K107" s="13">
        <f>IF(J107="","",H107-J107)</f>
        <v/>
      </c>
      <c r="L107" s="11">
        <f>IF(Blocks!H11="","",Blocks!H11)</f>
        <v/>
      </c>
    </row>
    <row r="108">
      <c r="A108" s="11">
        <f>Inputs!A10</f>
        <v/>
      </c>
      <c r="B108" s="11">
        <f>Blocks!B12</f>
        <v/>
      </c>
      <c r="C108" s="11">
        <f>Blocks!C12</f>
        <v/>
      </c>
      <c r="D108" s="11">
        <f>Blocks!D12</f>
        <v/>
      </c>
      <c r="E108" s="5">
        <f>IFERROR(INDEX(Team!$B$2:$B$60,MATCH(D108,Team!$A$2:$A$60,0)),"(assign)")</f>
        <v/>
      </c>
      <c r="F108" s="11">
        <f>Blocks!E12</f>
        <v/>
      </c>
      <c r="G108" s="12">
        <f>MAX(WORKDAY(H105,1,Holidays!$A$2:$A$60))</f>
        <v/>
      </c>
      <c r="H108" s="12">
        <f>IF(F108=0,G108,WORKDAY(G108,F108-1,Holidays!$A$2:$A$60))</f>
        <v/>
      </c>
      <c r="I108" s="14" t="n">
        <v>46332</v>
      </c>
      <c r="J108" s="14" t="n">
        <v>46337</v>
      </c>
      <c r="K108" s="13">
        <f>IF(J108="","",H108-J108)</f>
        <v/>
      </c>
      <c r="L108" s="11">
        <f>IF(Blocks!H12="","",Blocks!H12)</f>
        <v/>
      </c>
    </row>
    <row r="109">
      <c r="A109" s="11">
        <f>Inputs!A10</f>
        <v/>
      </c>
      <c r="B109" s="11">
        <f>Blocks!B13</f>
        <v/>
      </c>
      <c r="C109" s="11">
        <f>Blocks!C13</f>
        <v/>
      </c>
      <c r="D109" s="11">
        <f>Blocks!D13</f>
        <v/>
      </c>
      <c r="E109" s="5">
        <f>IFERROR(INDEX(Team!$B$2:$B$60,MATCH(D109,Team!$A$2:$A$60,0)),"(assign)")</f>
        <v/>
      </c>
      <c r="F109" s="11">
        <f>Blocks!E13</f>
        <v/>
      </c>
      <c r="G109" s="12">
        <f>MAX(H106,H107,H108)</f>
        <v/>
      </c>
      <c r="H109" s="12">
        <f>IF(F109=0,G109,WORKDAY(G109,F109-1,Holidays!$A$2:$A$60))</f>
        <v/>
      </c>
      <c r="I109" s="12" t="n"/>
      <c r="J109" s="12" t="n"/>
      <c r="K109" s="13" t="n"/>
      <c r="L109" s="11">
        <f>IF(Blocks!H13="","",Blocks!H13)</f>
        <v/>
      </c>
    </row>
  </sheetData>
  <autoFilter ref="A1:L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22" customWidth="1" min="4" max="4"/>
    <col width="12" customWidth="1" min="5" max="5"/>
    <col width="16" customWidth="1" min="6" max="6"/>
    <col width="40" customWidth="1" min="7" max="7"/>
    <col width="60" customWidth="1" min="8" max="8"/>
  </cols>
  <sheetData>
    <row r="1">
      <c r="A1" s="4" t="inlineStr">
        <is>
          <t>Block</t>
        </is>
      </c>
      <c r="B1" s="4" t="inlineStr">
        <is>
          <t>Step ID</t>
        </is>
      </c>
      <c r="C1" s="4" t="inlineStr">
        <is>
          <t>Step</t>
        </is>
      </c>
      <c r="D1" s="4" t="inlineStr">
        <is>
          <t>Role</t>
        </is>
      </c>
      <c r="E1" s="4" t="inlineStr">
        <is>
          <t>Duration (wd)</t>
        </is>
      </c>
      <c r="F1" s="4" t="inlineStr">
        <is>
          <t>Depends on</t>
        </is>
      </c>
      <c r="G1" s="4" t="inlineStr">
        <is>
          <t>Rule</t>
        </is>
      </c>
      <c r="H1" s="4" t="inlineStr">
        <is>
          <t>Checklist / deliverable</t>
        </is>
      </c>
    </row>
    <row r="2">
      <c r="A2" s="8" t="inlineStr">
        <is>
          <t>LAUNCH: New / transfer mold launch (one per mold)</t>
        </is>
      </c>
      <c r="B2" s="15" t="n"/>
      <c r="C2" s="16" t="n"/>
      <c r="D2" s="15" t="n"/>
      <c r="E2" s="15" t="n"/>
      <c r="F2" s="15" t="n"/>
      <c r="G2" s="15" t="n"/>
      <c r="H2" s="16" t="n"/>
    </row>
    <row r="3">
      <c r="A3" s="5" t="inlineStr">
        <is>
          <t>LAUNCH</t>
        </is>
      </c>
      <c r="B3" s="5" t="inlineStr">
        <is>
          <t>L01</t>
        </is>
      </c>
      <c r="C3" s="17" t="inlineStr">
        <is>
          <t>Assign location in plant layout</t>
        </is>
      </c>
      <c r="D3" s="5" t="inlineStr">
        <is>
          <t>Plant Layout</t>
        </is>
      </c>
      <c r="E3" s="6" t="n">
        <v>15</v>
      </c>
      <c r="F3" s="5" t="inlineStr">
        <is>
          <t>L03</t>
        </is>
      </c>
      <c r="G3" s="5" t="inlineStr">
        <is>
          <t>Finish the workday before L03 starts</t>
        </is>
      </c>
      <c r="H3" s="17" t="inlineStr"/>
    </row>
    <row r="4">
      <c r="A4" s="5" t="inlineStr">
        <is>
          <t>LAUNCH</t>
        </is>
      </c>
      <c r="B4" s="5" t="inlineStr">
        <is>
          <t>L02</t>
        </is>
      </c>
      <c r="C4" s="17" t="inlineStr">
        <is>
          <t>Mold delivery</t>
        </is>
      </c>
      <c r="D4" s="5" t="inlineStr">
        <is>
          <t>Program Manager</t>
        </is>
      </c>
      <c r="E4" s="6" t="n">
        <v>0</v>
      </c>
      <c r="F4" s="5" t="inlineStr"/>
      <c r="G4" s="5" t="inlineStr">
        <is>
          <t>Start = input 'delivery'</t>
        </is>
      </c>
      <c r="H4" s="17" t="inlineStr"/>
    </row>
    <row r="5">
      <c r="A5" s="5" t="inlineStr">
        <is>
          <t>LAUNCH</t>
        </is>
      </c>
      <c r="B5" s="5" t="inlineStr">
        <is>
          <t>L03</t>
        </is>
      </c>
      <c r="C5" s="17" t="inlineStr">
        <is>
          <t>Unpack / prep</t>
        </is>
      </c>
      <c r="D5" s="5" t="inlineStr">
        <is>
          <t>Toolshop</t>
        </is>
      </c>
      <c r="E5" s="6" t="n">
        <v>2</v>
      </c>
      <c r="F5" s="5" t="inlineStr">
        <is>
          <t>L02</t>
        </is>
      </c>
      <c r="G5" s="5" t="inlineStr">
        <is>
          <t>Start the workday after L02 finish</t>
        </is>
      </c>
      <c r="H5" s="17" t="inlineStr"/>
    </row>
    <row r="6">
      <c r="A6" s="5" t="inlineStr">
        <is>
          <t>LAUNCH</t>
        </is>
      </c>
      <c r="B6" s="5" t="inlineStr">
        <is>
          <t>L04</t>
        </is>
      </c>
      <c r="C6" s="17" t="inlineStr">
        <is>
          <t>Gauge validation</t>
        </is>
      </c>
      <c r="D6" s="5" t="inlineStr">
        <is>
          <t>Gauge / Metrology</t>
        </is>
      </c>
      <c r="E6" s="6" t="n">
        <v>1</v>
      </c>
      <c r="F6" s="5" t="inlineStr">
        <is>
          <t>L03</t>
        </is>
      </c>
      <c r="G6" s="5" t="inlineStr">
        <is>
          <t>Input 'gauge' if given, else after L03</t>
        </is>
      </c>
      <c r="H6" s="17" t="inlineStr"/>
    </row>
    <row r="7">
      <c r="A7" s="5" t="inlineStr">
        <is>
          <t>LAUNCH</t>
        </is>
      </c>
      <c r="B7" s="5" t="inlineStr">
        <is>
          <t>L05</t>
        </is>
      </c>
      <c r="C7" s="17" t="inlineStr">
        <is>
          <t>TH1 trial</t>
        </is>
      </c>
      <c r="D7" s="5" t="inlineStr">
        <is>
          <t>Trial Lead</t>
        </is>
      </c>
      <c r="E7" s="6" t="n">
        <v>1</v>
      </c>
      <c r="F7" s="5" t="inlineStr">
        <is>
          <t>L03, L04</t>
        </is>
      </c>
      <c r="G7" s="5" t="inlineStr">
        <is>
          <t>Later of input 'th1' and after L03 and L04</t>
        </is>
      </c>
      <c r="H7" s="17" t="inlineStr"/>
    </row>
    <row r="8">
      <c r="A8" s="5" t="inlineStr">
        <is>
          <t>LAUNCH</t>
        </is>
      </c>
      <c r="B8" s="5" t="inlineStr">
        <is>
          <t>L06</t>
        </is>
      </c>
      <c r="C8" s="17" t="inlineStr">
        <is>
          <t>Complete work instructions</t>
        </is>
      </c>
      <c r="D8" s="5" t="inlineStr">
        <is>
          <t>Process Engineer (WI)</t>
        </is>
      </c>
      <c r="E8" s="6" t="n">
        <v>9</v>
      </c>
      <c r="F8" s="5" t="inlineStr">
        <is>
          <t>L05</t>
        </is>
      </c>
      <c r="G8" s="5" t="inlineStr">
        <is>
          <t>Start the workday after L05 finish</t>
        </is>
      </c>
      <c r="H8" s="17" t="inlineStr">
        <is>
          <t>WI, first piece &amp; safe launch WI, gauge WI</t>
        </is>
      </c>
    </row>
    <row r="9">
      <c r="A9" s="5" t="inlineStr">
        <is>
          <t>LAUNCH</t>
        </is>
      </c>
      <c r="B9" s="5" t="inlineStr">
        <is>
          <t>L07</t>
        </is>
      </c>
      <c r="C9" s="17" t="inlineStr">
        <is>
          <t>TH2 trial</t>
        </is>
      </c>
      <c r="D9" s="5" t="inlineStr">
        <is>
          <t>Trial Lead</t>
        </is>
      </c>
      <c r="E9" s="6" t="n">
        <v>1</v>
      </c>
      <c r="F9" s="5" t="inlineStr">
        <is>
          <t>L06</t>
        </is>
      </c>
      <c r="G9" s="5" t="inlineStr">
        <is>
          <t>Start the workday after L06 finish</t>
        </is>
      </c>
      <c r="H9" s="17" t="inlineStr"/>
    </row>
    <row r="10">
      <c r="A10" s="5" t="inlineStr">
        <is>
          <t>LAUNCH</t>
        </is>
      </c>
      <c r="B10" s="5" t="inlineStr">
        <is>
          <t>L08</t>
        </is>
      </c>
      <c r="C10" s="17" t="inlineStr">
        <is>
          <t>Packaging trial / instruction</t>
        </is>
      </c>
      <c r="D10" s="5" t="inlineStr">
        <is>
          <t>Packaging</t>
        </is>
      </c>
      <c r="E10" s="6" t="n">
        <v>1</v>
      </c>
      <c r="F10" s="5" t="inlineStr">
        <is>
          <t>L07</t>
        </is>
      </c>
      <c r="G10" s="5" t="inlineStr">
        <is>
          <t>Start the same day as L07</t>
        </is>
      </c>
      <c r="H10" s="17" t="inlineStr">
        <is>
          <t>PDS / packaging instruction</t>
        </is>
      </c>
    </row>
    <row r="11">
      <c r="A11" s="5" t="inlineStr">
        <is>
          <t>LAUNCH</t>
        </is>
      </c>
      <c r="B11" s="5" t="inlineStr">
        <is>
          <t>L09</t>
        </is>
      </c>
      <c r="C11" s="17" t="inlineStr">
        <is>
          <t>6-pc dimensional (CMM)</t>
        </is>
      </c>
      <c r="D11" s="5" t="inlineStr">
        <is>
          <t>CMM Lab</t>
        </is>
      </c>
      <c r="E11" s="6" t="n">
        <v>2</v>
      </c>
      <c r="F11" s="5" t="inlineStr">
        <is>
          <t>L07</t>
        </is>
      </c>
      <c r="G11" s="5" t="inlineStr">
        <is>
          <t>Start the workday after L07 finish</t>
        </is>
      </c>
      <c r="H11" s="17" t="inlineStr">
        <is>
          <t>all cavities</t>
        </is>
      </c>
    </row>
    <row r="12">
      <c r="A12" s="5" t="inlineStr">
        <is>
          <t>LAUNCH</t>
        </is>
      </c>
      <c r="B12" s="5" t="inlineStr">
        <is>
          <t>L10</t>
        </is>
      </c>
      <c r="C12" s="17" t="inlineStr">
        <is>
          <t>30-pc Cpk</t>
        </is>
      </c>
      <c r="D12" s="5" t="inlineStr">
        <is>
          <t>Quality Engineer</t>
        </is>
      </c>
      <c r="E12" s="6" t="n">
        <v>4</v>
      </c>
      <c r="F12" s="5" t="inlineStr">
        <is>
          <t>L07</t>
        </is>
      </c>
      <c r="G12" s="5" t="inlineStr">
        <is>
          <t>Start the workday after L07 finish</t>
        </is>
      </c>
      <c r="H12" s="17" t="inlineStr">
        <is>
          <t>Weight; Thickness; every SPC characteristic on the control plan (from PDB)</t>
        </is>
      </c>
    </row>
    <row r="13">
      <c r="A13" s="5" t="inlineStr">
        <is>
          <t>LAUNCH</t>
        </is>
      </c>
      <c r="B13" s="5" t="inlineStr">
        <is>
          <t>L11</t>
        </is>
      </c>
      <c r="C13" s="17" t="inlineStr">
        <is>
          <t>Mold ready for PPAP</t>
        </is>
      </c>
      <c r="D13" s="5" t="inlineStr">
        <is>
          <t>Program Manager</t>
        </is>
      </c>
      <c r="E13" s="6" t="n">
        <v>0</v>
      </c>
      <c r="F13" s="5" t="inlineStr">
        <is>
          <t>L08, L09, L10</t>
        </is>
      </c>
      <c r="G13" s="5" t="inlineStr">
        <is>
          <t>Milestone when L08, L09, L10 are done</t>
        </is>
      </c>
      <c r="H13" s="17" t="inlineStr"/>
    </row>
    <row r="14">
      <c r="A14" s="8" t="inlineStr">
        <is>
          <t>MOLDCHG: Mold engineering change (belongs in the plm2 ECR plan)</t>
        </is>
      </c>
      <c r="B14" s="15" t="n"/>
      <c r="C14" s="16" t="n"/>
      <c r="D14" s="15" t="n"/>
      <c r="E14" s="15" t="n"/>
      <c r="F14" s="15" t="n"/>
      <c r="G14" s="15" t="n"/>
      <c r="H14" s="16" t="n"/>
    </row>
    <row r="15">
      <c r="A15" s="5" t="inlineStr">
        <is>
          <t>MOLDCHG</t>
        </is>
      </c>
      <c r="B15" s="5" t="inlineStr">
        <is>
          <t>E01</t>
        </is>
      </c>
      <c r="C15" s="17" t="inlineStr">
        <is>
          <t>Bank build for the change</t>
        </is>
      </c>
      <c r="D15" s="5" t="inlineStr">
        <is>
          <t>Production Planning</t>
        </is>
      </c>
      <c r="E15" s="6" t="n">
        <v>10</v>
      </c>
      <c r="F15" s="5" t="inlineStr">
        <is>
          <t>E02</t>
        </is>
      </c>
      <c r="G15" s="5" t="inlineStr">
        <is>
          <t>Finish the workday before E02 starts</t>
        </is>
      </c>
      <c r="H15" s="17" t="inlineStr">
        <is>
          <t>coverage until changed parts ship</t>
        </is>
      </c>
    </row>
    <row r="16">
      <c r="A16" s="5" t="inlineStr">
        <is>
          <t>MOLDCHG</t>
        </is>
      </c>
      <c r="B16" s="5" t="inlineStr">
        <is>
          <t>E02</t>
        </is>
      </c>
      <c r="C16" s="17" t="inlineStr">
        <is>
          <t>Ship tool to toolmaker</t>
        </is>
      </c>
      <c r="D16" s="5" t="inlineStr">
        <is>
          <t>Toolshop</t>
        </is>
      </c>
      <c r="E16" s="6" t="n">
        <v>1</v>
      </c>
      <c r="F16" s="5" t="inlineStr"/>
      <c r="G16" s="5" t="inlineStr">
        <is>
          <t>Start = input 'tool_out'</t>
        </is>
      </c>
      <c r="H16" s="17" t="inlineStr"/>
    </row>
    <row r="17">
      <c r="A17" s="5" t="inlineStr">
        <is>
          <t>MOLDCHG</t>
        </is>
      </c>
      <c r="B17" s="5" t="inlineStr">
        <is>
          <t>E03</t>
        </is>
      </c>
      <c r="C17" s="17" t="inlineStr">
        <is>
          <t>Tool modification</t>
        </is>
      </c>
      <c r="D17" s="5" t="inlineStr">
        <is>
          <t>Tool Engineering</t>
        </is>
      </c>
      <c r="E17" s="6" t="n">
        <v>10</v>
      </c>
      <c r="F17" s="5" t="inlineStr">
        <is>
          <t>E02</t>
        </is>
      </c>
      <c r="G17" s="5" t="inlineStr">
        <is>
          <t>Start the workday after E02 finish</t>
        </is>
      </c>
      <c r="H17" s="17" t="inlineStr">
        <is>
          <t>duration per quote</t>
        </is>
      </c>
    </row>
    <row r="18">
      <c r="A18" s="5" t="inlineStr">
        <is>
          <t>MOLDCHG</t>
        </is>
      </c>
      <c r="B18" s="5" t="inlineStr">
        <is>
          <t>E04</t>
        </is>
      </c>
      <c r="C18" s="17" t="inlineStr">
        <is>
          <t>Return tool to plant</t>
        </is>
      </c>
      <c r="D18" s="5" t="inlineStr">
        <is>
          <t>Toolshop</t>
        </is>
      </c>
      <c r="E18" s="6" t="n">
        <v>1</v>
      </c>
      <c r="F18" s="5" t="inlineStr">
        <is>
          <t>E03</t>
        </is>
      </c>
      <c r="G18" s="5" t="inlineStr">
        <is>
          <t>Start the workday after E03 finish</t>
        </is>
      </c>
      <c r="H18" s="17" t="inlineStr"/>
    </row>
    <row r="19">
      <c r="A19" s="5" t="inlineStr">
        <is>
          <t>MOLDCHG</t>
        </is>
      </c>
      <c r="B19" s="5" t="inlineStr">
        <is>
          <t>E05</t>
        </is>
      </c>
      <c r="C19" s="17" t="inlineStr">
        <is>
          <t>Verify AI level engraved in mold</t>
        </is>
      </c>
      <c r="D19" s="5" t="inlineStr">
        <is>
          <t>Toolshop</t>
        </is>
      </c>
      <c r="E19" s="6" t="n">
        <v>1</v>
      </c>
      <c r="F19" s="5" t="inlineStr">
        <is>
          <t>E04</t>
        </is>
      </c>
      <c r="G19" s="5" t="inlineStr">
        <is>
          <t>Start the workday after E04 finish</t>
        </is>
      </c>
      <c r="H19" s="17" t="inlineStr"/>
    </row>
    <row r="20">
      <c r="A20" s="5" t="inlineStr">
        <is>
          <t>MOLDCHG</t>
        </is>
      </c>
      <c r="B20" s="5" t="inlineStr">
        <is>
          <t>E06</t>
        </is>
      </c>
      <c r="C20" s="17" t="inlineStr">
        <is>
          <t>Change AI level in system</t>
        </is>
      </c>
      <c r="D20" s="5" t="inlineStr">
        <is>
          <t>Doc Control / ERP</t>
        </is>
      </c>
      <c r="E20" s="6" t="n">
        <v>2</v>
      </c>
      <c r="F20" s="5" t="inlineStr">
        <is>
          <t>E03</t>
        </is>
      </c>
      <c r="G20" s="5" t="inlineStr">
        <is>
          <t>Start the same day as E03</t>
        </is>
      </c>
      <c r="H20" s="17" t="inlineStr"/>
    </row>
    <row r="21">
      <c r="A21" s="5" t="inlineStr">
        <is>
          <t>MOLDCHG</t>
        </is>
      </c>
      <c r="B21" s="5" t="inlineStr">
        <is>
          <t>E07</t>
        </is>
      </c>
      <c r="C21" s="17" t="inlineStr">
        <is>
          <t>TH trial (changed tool)</t>
        </is>
      </c>
      <c r="D21" s="5" t="inlineStr">
        <is>
          <t>Trial Lead</t>
        </is>
      </c>
      <c r="E21" s="6" t="n">
        <v>1</v>
      </c>
      <c r="F21" s="5" t="inlineStr">
        <is>
          <t>E05, E06</t>
        </is>
      </c>
      <c r="G21" s="5" t="inlineStr">
        <is>
          <t>Start the workday after E05 and E06 finish</t>
        </is>
      </c>
      <c r="H21" s="17" t="inlineStr"/>
    </row>
    <row r="22">
      <c r="A22" s="5" t="inlineStr">
        <is>
          <t>MOLDCHG</t>
        </is>
      </c>
      <c r="B22" s="5" t="inlineStr">
        <is>
          <t>E08</t>
        </is>
      </c>
      <c r="C22" s="17" t="inlineStr">
        <is>
          <t>6-pc dimensional (CMM)</t>
        </is>
      </c>
      <c r="D22" s="5" t="inlineStr">
        <is>
          <t>CMM Lab</t>
        </is>
      </c>
      <c r="E22" s="6" t="n">
        <v>2</v>
      </c>
      <c r="F22" s="5" t="inlineStr">
        <is>
          <t>E07</t>
        </is>
      </c>
      <c r="G22" s="5" t="inlineStr">
        <is>
          <t>Start the workday after E07 finish</t>
        </is>
      </c>
      <c r="H22" s="17" t="inlineStr">
        <is>
          <t>all cavities</t>
        </is>
      </c>
    </row>
    <row r="23">
      <c r="A23" s="5" t="inlineStr">
        <is>
          <t>MOLDCHG</t>
        </is>
      </c>
      <c r="B23" s="5" t="inlineStr">
        <is>
          <t>E09</t>
        </is>
      </c>
      <c r="C23" s="17" t="inlineStr">
        <is>
          <t>30-pc Cpk</t>
        </is>
      </c>
      <c r="D23" s="5" t="inlineStr">
        <is>
          <t>Quality Engineer</t>
        </is>
      </c>
      <c r="E23" s="6" t="n">
        <v>4</v>
      </c>
      <c r="F23" s="5" t="inlineStr">
        <is>
          <t>E07</t>
        </is>
      </c>
      <c r="G23" s="5" t="inlineStr">
        <is>
          <t>Start the workday after E07 finish</t>
        </is>
      </c>
      <c r="H23" s="17" t="inlineStr">
        <is>
          <t>Weight; Thickness; every SPC characteristic on the control plan (from PDB)</t>
        </is>
      </c>
    </row>
    <row r="24">
      <c r="A24" s="5" t="inlineStr">
        <is>
          <t>MOLDCHG</t>
        </is>
      </c>
      <c r="B24" s="5" t="inlineStr">
        <is>
          <t>E10</t>
        </is>
      </c>
      <c r="C24" s="17" t="inlineStr">
        <is>
          <t>Material disposition (old level)</t>
        </is>
      </c>
      <c r="D24" s="5" t="inlineStr">
        <is>
          <t>Production Planning</t>
        </is>
      </c>
      <c r="E24" s="6" t="n">
        <v>1</v>
      </c>
      <c r="F24" s="5" t="inlineStr">
        <is>
          <t>E07</t>
        </is>
      </c>
      <c r="G24" s="5" t="inlineStr">
        <is>
          <t>Start the same day as E07</t>
        </is>
      </c>
      <c r="H24" s="17" t="inlineStr"/>
    </row>
    <row r="25">
      <c r="A25" s="5" t="inlineStr">
        <is>
          <t>MOLDCHG</t>
        </is>
      </c>
      <c r="B25" s="5" t="inlineStr">
        <is>
          <t>E11</t>
        </is>
      </c>
      <c r="C25" s="17" t="inlineStr">
        <is>
          <t>Customer part approval / sampling</t>
        </is>
      </c>
      <c r="D25" s="5" t="inlineStr">
        <is>
          <t>Program Manager</t>
        </is>
      </c>
      <c r="E25" s="6" t="n">
        <v>1</v>
      </c>
      <c r="F25" s="5" t="inlineStr">
        <is>
          <t>E08, E09</t>
        </is>
      </c>
      <c r="G25" s="5" t="inlineStr">
        <is>
          <t>Start the workday after E08 and E09 finish</t>
        </is>
      </c>
      <c r="H25" s="17" t="inlineStr">
        <is>
          <t>optional: vehicle trial</t>
        </is>
      </c>
    </row>
    <row r="26">
      <c r="A26" s="5" t="inlineStr">
        <is>
          <t>MOLDCHG</t>
        </is>
      </c>
      <c r="B26" s="5" t="inlineStr">
        <is>
          <t>E12</t>
        </is>
      </c>
      <c r="C26" s="17" t="inlineStr">
        <is>
          <t>Production start-up, new level</t>
        </is>
      </c>
      <c r="D26" s="5" t="inlineStr">
        <is>
          <t>Production Planning</t>
        </is>
      </c>
      <c r="E26" s="6" t="n">
        <v>5</v>
      </c>
      <c r="F26" s="5" t="inlineStr">
        <is>
          <t>E11</t>
        </is>
      </c>
      <c r="G26" s="5" t="inlineStr">
        <is>
          <t>Start the workday after E11 finish</t>
        </is>
      </c>
      <c r="H26" s="17" t="inlineStr"/>
    </row>
    <row r="27">
      <c r="A27" s="5" t="inlineStr">
        <is>
          <t>MOLDCHG</t>
        </is>
      </c>
      <c r="B27" s="5" t="inlineStr">
        <is>
          <t>E13</t>
        </is>
      </c>
      <c r="C27" s="17" t="inlineStr">
        <is>
          <t>Changed parts delivered</t>
        </is>
      </c>
      <c r="D27" s="5" t="inlineStr">
        <is>
          <t>Program Manager</t>
        </is>
      </c>
      <c r="E27" s="6" t="n">
        <v>0</v>
      </c>
      <c r="F27" s="5" t="inlineStr">
        <is>
          <t>E12</t>
        </is>
      </c>
      <c r="G27" s="5" t="inlineStr">
        <is>
          <t>Milestone when E12 are done</t>
        </is>
      </c>
      <c r="H27" s="17" t="inlineStr"/>
    </row>
    <row r="28">
      <c r="A28" s="8" t="inlineStr">
        <is>
          <t>PPAP: PPAP / ISIR package (one per part family)</t>
        </is>
      </c>
      <c r="B28" s="15" t="n"/>
      <c r="C28" s="16" t="n"/>
      <c r="D28" s="15" t="n"/>
      <c r="E28" s="15" t="n"/>
      <c r="F28" s="15" t="n"/>
      <c r="G28" s="15" t="n"/>
      <c r="H28" s="16" t="n"/>
    </row>
    <row r="29">
      <c r="A29" s="5" t="inlineStr">
        <is>
          <t>PPAP</t>
        </is>
      </c>
      <c r="B29" s="5" t="inlineStr">
        <is>
          <t>P01</t>
        </is>
      </c>
      <c r="C29" s="17" t="inlineStr">
        <is>
          <t>Initial capability (10-pc Cpk)</t>
        </is>
      </c>
      <c r="D29" s="5" t="inlineStr">
        <is>
          <t>Quality Engineer</t>
        </is>
      </c>
      <c r="E29" s="6" t="n">
        <v>3</v>
      </c>
      <c r="F29" s="5" t="inlineStr"/>
      <c r="G29" s="5" t="inlineStr">
        <is>
          <t>Start = input 'trial'</t>
        </is>
      </c>
      <c r="H29" s="17" t="inlineStr">
        <is>
          <t>Weight; Thickness; every SPC characteristic on the control plan (from PDB)</t>
        </is>
      </c>
    </row>
    <row r="30">
      <c r="A30" s="5" t="inlineStr">
        <is>
          <t>PPAP</t>
        </is>
      </c>
      <c r="B30" s="5" t="inlineStr">
        <is>
          <t>P02</t>
        </is>
      </c>
      <c r="C30" s="17" t="inlineStr">
        <is>
          <t>ISIR / iPQ package</t>
        </is>
      </c>
      <c r="D30" s="5" t="inlineStr">
        <is>
          <t>Quality Engineer</t>
        </is>
      </c>
      <c r="E30" s="6" t="n">
        <v>15</v>
      </c>
      <c r="F30" s="5" t="inlineStr">
        <is>
          <t>P01</t>
        </is>
      </c>
      <c r="G30" s="5" t="inlineStr">
        <is>
          <t>Start the workday after P01 finish</t>
        </is>
      </c>
      <c r="H30" s="17" t="inlineStr">
        <is>
          <t>0.1 Cover sheet; 0.2 Self-assessment; 1.3 Design/engineering approvals; 1.4 IMDS; 2.1 Process flowchart; 2.2 PFMEA; 2.3 Control plan; 3.1 Geometry/dimensions; 3.2 Material; 3.10 Reliability; 4.6 Tools; 5.1 Legal compliance; 5.4 MSA; 5.5 Part history; 5.6 Load carriers</t>
        </is>
      </c>
    </row>
    <row r="31">
      <c r="A31" s="5" t="inlineStr">
        <is>
          <t>PPAP</t>
        </is>
      </c>
      <c r="B31" s="5" t="inlineStr">
        <is>
          <t>P03</t>
        </is>
      </c>
      <c r="C31" s="17" t="inlineStr">
        <is>
          <t>Validation testing (PV)</t>
        </is>
      </c>
      <c r="D31" s="5" t="inlineStr">
        <is>
          <t>Quality Engineer</t>
        </is>
      </c>
      <c r="E31" s="6" t="n">
        <v>60</v>
      </c>
      <c r="F31" s="5" t="inlineStr">
        <is>
          <t>P02</t>
        </is>
      </c>
      <c r="G31" s="5" t="inlineStr">
        <is>
          <t>Start the same day as P02</t>
        </is>
      </c>
      <c r="H31" s="17" t="inlineStr">
        <is>
          <t>quote, select lab, ship samples, test</t>
        </is>
      </c>
    </row>
    <row r="32">
      <c r="A32" s="5" t="inlineStr">
        <is>
          <t>PPAP</t>
        </is>
      </c>
      <c r="B32" s="5" t="inlineStr">
        <is>
          <t>P04</t>
        </is>
      </c>
      <c r="C32" s="17" t="inlineStr">
        <is>
          <t>Full PPAP approval</t>
        </is>
      </c>
      <c r="D32" s="5" t="inlineStr">
        <is>
          <t>Program Manager</t>
        </is>
      </c>
      <c r="E32" s="6" t="n">
        <v>0</v>
      </c>
      <c r="F32" s="5" t="inlineStr">
        <is>
          <t>P02, P03</t>
        </is>
      </c>
      <c r="G32" s="5" t="inlineStr">
        <is>
          <t>Milestone when P02, P03 are done</t>
        </is>
      </c>
      <c r="H32" s="17" t="inlineStr"/>
    </row>
  </sheetData>
  <dataValidations count="1">
    <dataValidation sqref="D2:D32" showDropDown="0" showInputMessage="0" showErrorMessage="0" allowBlank="0" type="list">
      <formula1>=Team!$A$2:$A$15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4" customWidth="1" min="4" max="4"/>
    <col width="16" customWidth="1" min="5" max="5"/>
    <col width="15" customWidth="1" min="6" max="6"/>
  </cols>
  <sheetData>
    <row r="1">
      <c r="A1" s="4" t="inlineStr">
        <is>
          <t>Mold</t>
        </is>
      </c>
      <c r="B1" s="4" t="inlineStr">
        <is>
          <t>Press</t>
        </is>
      </c>
      <c r="C1" s="4" t="inlineStr">
        <is>
          <t>Part numbers</t>
        </is>
      </c>
      <c r="D1" s="4" t="inlineStr">
        <is>
          <t>Delivery</t>
        </is>
      </c>
      <c r="E1" s="4" t="inlineStr">
        <is>
          <t>Gauge validation</t>
        </is>
      </c>
      <c r="F1" s="4" t="inlineStr">
        <is>
          <t>TH1 trial slot</t>
        </is>
      </c>
    </row>
    <row r="2">
      <c r="A2" s="6" t="inlineStr">
        <is>
          <t>3355</t>
        </is>
      </c>
      <c r="B2" s="6" t="inlineStr">
        <is>
          <t>900-5</t>
        </is>
      </c>
      <c r="C2" s="6" t="inlineStr">
        <is>
          <t>5A65DF8-03</t>
        </is>
      </c>
      <c r="D2" s="14" t="n">
        <v>46244</v>
      </c>
      <c r="E2" s="14" t="n">
        <v>46297</v>
      </c>
      <c r="F2" s="14" t="n">
        <v>46302</v>
      </c>
    </row>
    <row r="3">
      <c r="A3" s="6" t="inlineStr">
        <is>
          <t>3363</t>
        </is>
      </c>
      <c r="B3" s="6" t="inlineStr">
        <is>
          <t>1300-3</t>
        </is>
      </c>
      <c r="C3" s="6" t="inlineStr">
        <is>
          <t>5A65E17-03, 5A65E18-03</t>
        </is>
      </c>
      <c r="D3" s="14" t="n">
        <v>46268</v>
      </c>
      <c r="E3" s="14" t="n">
        <v>46300</v>
      </c>
      <c r="F3" s="14" t="n">
        <v>46303</v>
      </c>
    </row>
    <row r="4">
      <c r="A4" s="6" t="inlineStr">
        <is>
          <t>3370</t>
        </is>
      </c>
      <c r="B4" s="6" t="inlineStr">
        <is>
          <t>1600-2</t>
        </is>
      </c>
      <c r="C4" s="6" t="inlineStr">
        <is>
          <t>5B533A6-02</t>
        </is>
      </c>
      <c r="D4" s="14" t="n">
        <v>46268</v>
      </c>
      <c r="E4" s="14" t="n">
        <v>46301</v>
      </c>
      <c r="F4" s="14" t="n">
        <v>46304</v>
      </c>
    </row>
    <row r="5">
      <c r="A5" s="6" t="inlineStr">
        <is>
          <t>3377</t>
        </is>
      </c>
      <c r="B5" s="6" t="inlineStr">
        <is>
          <t>1300-2</t>
        </is>
      </c>
      <c r="C5" s="6" t="inlineStr">
        <is>
          <t>9635313-02, 9635314-02</t>
        </is>
      </c>
      <c r="D5" s="14" t="n">
        <v>46244</v>
      </c>
      <c r="E5" s="14" t="n">
        <v>46302</v>
      </c>
      <c r="F5" s="14" t="n">
        <v>46308</v>
      </c>
    </row>
    <row r="6">
      <c r="A6" s="6" t="inlineStr">
        <is>
          <t>3376</t>
        </is>
      </c>
      <c r="B6" s="6" t="inlineStr">
        <is>
          <t>1300-3</t>
        </is>
      </c>
      <c r="C6" s="6" t="inlineStr">
        <is>
          <t>9635311-02, 9635312-02</t>
        </is>
      </c>
      <c r="D6" s="14" t="n">
        <v>46244</v>
      </c>
      <c r="E6" s="14" t="n">
        <v>46309</v>
      </c>
      <c r="F6" s="14" t="n"/>
    </row>
    <row r="7">
      <c r="A7" s="6" t="inlineStr">
        <is>
          <t>3362</t>
        </is>
      </c>
      <c r="B7" s="6" t="inlineStr">
        <is>
          <t>1600-2</t>
        </is>
      </c>
      <c r="C7" s="6" t="inlineStr">
        <is>
          <t>5A65E00-03, 5A65E00-04</t>
        </is>
      </c>
      <c r="D7" s="14" t="n">
        <v>46268</v>
      </c>
      <c r="E7" s="14" t="n">
        <v>46310</v>
      </c>
      <c r="F7" s="14" t="n">
        <v>46310</v>
      </c>
    </row>
    <row r="8">
      <c r="A8" s="6" t="inlineStr">
        <is>
          <t>3343</t>
        </is>
      </c>
      <c r="B8" s="6" t="inlineStr">
        <is>
          <t>1600-2</t>
        </is>
      </c>
      <c r="C8" s="6" t="inlineStr">
        <is>
          <t>5A87904-02, 5A65C28-02</t>
        </is>
      </c>
      <c r="D8" s="14" t="n">
        <v>46268</v>
      </c>
      <c r="E8" s="14" t="n">
        <v>46310</v>
      </c>
      <c r="F8" s="14" t="n">
        <v>46311</v>
      </c>
    </row>
    <row r="9">
      <c r="A9" s="6" t="inlineStr">
        <is>
          <t>3347</t>
        </is>
      </c>
      <c r="B9" s="6" t="inlineStr">
        <is>
          <t>1300-3</t>
        </is>
      </c>
      <c r="C9" s="6" t="inlineStr">
        <is>
          <t>5B6CA70-04</t>
        </is>
      </c>
      <c r="D9" s="14" t="n">
        <v>46244</v>
      </c>
      <c r="E9" s="14" t="n">
        <v>46311</v>
      </c>
      <c r="F9" s="14" t="n">
        <v>46315</v>
      </c>
    </row>
    <row r="10">
      <c r="A10" s="6" t="inlineStr">
        <is>
          <t>3352</t>
        </is>
      </c>
      <c r="B10" s="6" t="inlineStr">
        <is>
          <t>550</t>
        </is>
      </c>
      <c r="C10" s="6" t="inlineStr">
        <is>
          <t>5B6CA81-02, 5B6CA82-02</t>
        </is>
      </c>
      <c r="D10" s="14" t="n">
        <v>46268</v>
      </c>
      <c r="E10" s="14" t="n">
        <v>46314</v>
      </c>
      <c r="F10" s="14" t="n">
        <v>46317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4" t="inlineStr">
        <is>
          <t>Plant holiday</t>
        </is>
      </c>
      <c r="B1" s="4" t="inlineStr">
        <is>
          <t>Name</t>
        </is>
      </c>
      <c r="C1" s="18" t="inlineStr">
        <is>
          <t>Enter plant holidays here; all plan dates skip them.</t>
        </is>
      </c>
    </row>
    <row r="2">
      <c r="A2" s="19" t="n"/>
    </row>
    <row r="3">
      <c r="A3" s="19" t="n"/>
    </row>
    <row r="4">
      <c r="A4" s="19" t="n"/>
    </row>
    <row r="5">
      <c r="A5" s="19" t="n"/>
    </row>
    <row r="6">
      <c r="A6" s="19" t="n"/>
    </row>
    <row r="7">
      <c r="A7" s="19" t="n"/>
    </row>
    <row r="8">
      <c r="A8" s="19" t="n"/>
    </row>
    <row r="9">
      <c r="A9" s="19" t="n"/>
    </row>
    <row r="10">
      <c r="A10" s="19" t="n"/>
    </row>
    <row r="11">
      <c r="A11" s="19" t="n"/>
    </row>
    <row r="12">
      <c r="A12" s="19" t="n"/>
    </row>
    <row r="13">
      <c r="A13" s="19" t="n"/>
    </row>
    <row r="14">
      <c r="A14" s="19" t="n"/>
    </row>
    <row r="15">
      <c r="A15" s="19" t="n"/>
    </row>
    <row r="16">
      <c r="A16" s="19" t="n"/>
    </row>
    <row r="17">
      <c r="A17" s="19" t="n"/>
    </row>
    <row r="18">
      <c r="A18" s="19" t="n"/>
    </row>
    <row r="19">
      <c r="A19" s="19" t="n"/>
    </row>
    <row r="20">
      <c r="A20" s="19" t="n"/>
    </row>
    <row r="21">
      <c r="A21" s="19" t="n"/>
    </row>
    <row r="22">
      <c r="A22" s="19" t="n"/>
    </row>
    <row r="23">
      <c r="A23" s="19" t="n"/>
    </row>
    <row r="24">
      <c r="A24" s="19" t="n"/>
    </row>
    <row r="25">
      <c r="A25" s="19" t="n"/>
    </row>
    <row r="26">
      <c r="A26" s="19" t="n"/>
    </row>
    <row r="27">
      <c r="A27" s="19" t="n"/>
    </row>
    <row r="28">
      <c r="A28" s="19" t="n"/>
    </row>
    <row r="29">
      <c r="A29" s="19" t="n"/>
    </row>
    <row r="30">
      <c r="A30" s="19" t="n"/>
    </row>
    <row r="31">
      <c r="A31" s="19" t="n"/>
    </row>
    <row r="32">
      <c r="A32" s="19" t="n"/>
    </row>
    <row r="33">
      <c r="A33" s="19" t="n"/>
    </row>
    <row r="34">
      <c r="A34" s="19" t="n"/>
    </row>
    <row r="35">
      <c r="A35" s="19" t="n"/>
    </row>
    <row r="36">
      <c r="A36" s="19" t="n"/>
    </row>
    <row r="37">
      <c r="A37" s="19" t="n"/>
    </row>
    <row r="38">
      <c r="A38" s="19" t="n"/>
    </row>
    <row r="39">
      <c r="A39" s="19" t="n"/>
    </row>
    <row r="40">
      <c r="A40" s="19" t="n"/>
    </row>
    <row r="41">
      <c r="A41" s="19" t="n"/>
    </row>
    <row r="42">
      <c r="A42" s="19" t="n"/>
    </row>
    <row r="43">
      <c r="A43" s="19" t="n"/>
    </row>
    <row r="44">
      <c r="A44" s="19" t="n"/>
    </row>
    <row r="45">
      <c r="A45" s="19" t="n"/>
    </row>
    <row r="46">
      <c r="A46" s="19" t="n"/>
    </row>
    <row r="47">
      <c r="A47" s="19" t="n"/>
    </row>
    <row r="48">
      <c r="A48" s="19" t="n"/>
    </row>
    <row r="49">
      <c r="A49" s="19" t="n"/>
    </row>
    <row r="50">
      <c r="A50" s="19" t="n"/>
    </row>
    <row r="51">
      <c r="A51" s="19" t="n"/>
    </row>
    <row r="52">
      <c r="A52" s="19" t="n"/>
    </row>
    <row r="53">
      <c r="A53" s="19" t="n"/>
    </row>
    <row r="54">
      <c r="A54" s="19" t="n"/>
    </row>
    <row r="55">
      <c r="A55" s="19" t="n"/>
    </row>
    <row r="56">
      <c r="A56" s="19" t="n"/>
    </row>
    <row r="57">
      <c r="A57" s="19" t="n"/>
    </row>
    <row r="58">
      <c r="A58" s="19" t="n"/>
    </row>
    <row r="59">
      <c r="A59" s="19" t="n"/>
    </row>
    <row r="60">
      <c r="A60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4" t="inlineStr">
        <is>
          <t>Area</t>
        </is>
      </c>
      <c r="B1" s="4" t="inlineStr">
        <is>
          <t>Found in the current .mpp</t>
        </is>
      </c>
      <c r="C1" s="4" t="inlineStr">
        <is>
          <t>How the template prevents it</t>
        </is>
      </c>
    </row>
    <row r="2">
      <c r="A2" s="5" t="inlineStr">
        <is>
          <t>Links</t>
        </is>
      </c>
      <c r="B2" s="17" t="inlineStr">
        <is>
          <t>0 of 239 tasks are linked, no constraints, no baseline</t>
        </is>
      </c>
      <c r="C2" s="17" t="inlineStr">
        <is>
          <t>Every date is typed by hand; a slip moves nothing and cannot be measured</t>
        </is>
      </c>
    </row>
    <row r="3">
      <c r="A3" s="5" t="inlineStr">
        <is>
          <t>Logic</t>
        </is>
      </c>
      <c r="B3" s="17" t="inlineStr">
        <is>
          <t>Molds 3362, 3343, 3352: unpack (8/31-9/3) planned before delivery (9/3)</t>
        </is>
      </c>
      <c r="C3" s="17" t="inlineStr">
        <is>
          <t>A link delivery -&gt; unpack makes this impossible</t>
        </is>
      </c>
    </row>
    <row r="4">
      <c r="A4" s="5" t="inlineStr">
        <is>
          <t>Logic</t>
        </is>
      </c>
      <c r="B4" s="17" t="inlineStr">
        <is>
          <t>Mold 3376: no TH1, TH2 on the same day as gauge validation</t>
        </is>
      </c>
      <c r="C4" s="17" t="inlineStr">
        <is>
          <t>Template always plans TH1 after gauge</t>
        </is>
      </c>
    </row>
    <row r="5">
      <c r="A5" s="5" t="inlineStr">
        <is>
          <t>Logic</t>
        </is>
      </c>
      <c r="B5" s="17" t="inlineStr">
        <is>
          <t>Mold 3362: TH1 on the same day as gauge validation</t>
        </is>
      </c>
      <c r="C5" s="17" t="inlineStr">
        <is>
          <t>Template starts TH1 the workday after gauge</t>
        </is>
      </c>
    </row>
    <row r="6">
      <c r="A6" s="5" t="inlineStr">
        <is>
          <t>Naming</t>
        </is>
      </c>
      <c r="B6" s="17" t="inlineStr">
        <is>
          <t>Mold 3377: press 1300-2 in some lines, 1300-3 in others</t>
        </is>
      </c>
      <c r="C6" s="17" t="inlineStr">
        <is>
          <t>Press is one input field per mold</t>
        </is>
      </c>
    </row>
    <row r="7">
      <c r="A7" s="5" t="inlineStr">
        <is>
          <t>Naming</t>
        </is>
      </c>
      <c r="B7" s="17" t="inlineStr">
        <is>
          <t>Task 5.9.11 (3352) called 'TH2' but is the 30-pc Cpk</t>
        </is>
      </c>
      <c r="C7" s="17" t="inlineStr">
        <is>
          <t>Task names come from the block</t>
        </is>
      </c>
    </row>
    <row r="8">
      <c r="A8" s="5" t="inlineStr">
        <is>
          <t>Resources</t>
        </is>
      </c>
      <c r="B8" s="17" t="inlineStr">
        <is>
          <t>Same person 3x: holmes / Chrisopher.holmes / christopher.holmes; Rautzenberg 3x</t>
        </is>
      </c>
      <c r="C8" s="17" t="inlineStr">
        <is>
          <t>Roles in the block, one role -&gt; person map per project</t>
        </is>
      </c>
    </row>
    <row r="9">
      <c r="A9" s="5" t="inlineStr">
        <is>
          <t>Resources</t>
        </is>
      </c>
      <c r="B9" s="17" t="inlineStr">
        <is>
          <t>A resource named 'Mold 3345: Verify correct AI Level is engraved in the mold.'</t>
        </is>
      </c>
      <c r="C9" s="17" t="inlineStr">
        <is>
          <t>Same</t>
        </is>
      </c>
    </row>
    <row r="10">
      <c r="A10" s="5" t="inlineStr">
        <is>
          <t>Granularity</t>
        </is>
      </c>
      <c r="B10" s="17" t="inlineStr">
        <is>
          <t>Cpk split into 8 rows per characteristic (24 rows total)</t>
        </is>
      </c>
      <c r="C10" s="17" t="inlineStr">
        <is>
          <t>One Cpk task, characteristics as checklist from the control plan / PDB</t>
        </is>
      </c>
    </row>
    <row r="11">
      <c r="A11" s="5" t="inlineStr">
        <is>
          <t>Granularity</t>
        </is>
      </c>
      <c r="B11" s="17" t="inlineStr">
        <is>
          <t>15 iPQ element rows with identical dates and owner</t>
        </is>
      </c>
      <c r="C11" s="17" t="inlineStr">
        <is>
          <t>One ISIR/iPQ task with the element checklist</t>
        </is>
      </c>
    </row>
    <row r="12">
      <c r="A12" s="5" t="inlineStr">
        <is>
          <t>Scope</t>
        </is>
      </c>
      <c r="B12" s="17" t="inlineStr">
        <is>
          <t>Mold 3360/3349/3369 changes (~55 rows) planned in the project file</t>
        </is>
      </c>
      <c r="C12" s="17" t="inlineStr">
        <is>
          <t>These are ECRs: plan them in the plm2 change plan, show only milestones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2026-10-02T21:51:29Z</dcterms:created>
  <dcterms:modified xsi:type="dcterms:W3CDTF">2026-10-02T21:51:29Z</dcterms:modified>
</cp:coreProperties>
</file>