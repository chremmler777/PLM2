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80610A8E-5010-04F8-B4C4-4C452766216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Horst.Kerschreiter\Downloads\"/>
    </mc:Choice>
  </mc:AlternateContent>
  <xr:revisionPtr revIDLastSave="0" documentId="13_ncr:1_{8A790DD5-A7A9-4FB1-B251-453D6AA42268}" xr6:coauthVersionLast="47" xr6:coauthVersionMax="47" xr10:uidLastSave="{00000000-0000-0000-0000-000000000000}"/>
  <bookViews>
    <workbookView xWindow="-26310" yWindow="5190" windowWidth="21600" windowHeight="14250" xr2:uid="{00000000-000D-0000-FFFF-FFFF00000000}"/>
  </bookViews>
  <sheets>
    <sheet name="LOP" sheetId="1" r:id="rId1"/>
    <sheet name="Agenda" sheetId="5" r:id="rId2"/>
    <sheet name="Calculation Sheet" sheetId="2" state="hidden" r:id="rId3"/>
    <sheet name="Changehistory" sheetId="3" r:id="rId4"/>
    <sheet name="Team Vacation planning" sheetId="6" r:id="rId5"/>
    <sheet name="Instructions" sheetId="7" r:id="rId6"/>
  </sheets>
  <definedNames>
    <definedName name="_xleta.MA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5" i="5" l="1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12" i="5"/>
  <c r="C3" i="5"/>
  <c r="A3" i="5"/>
  <c r="F13" i="5" l="1"/>
  <c r="F14" i="5" s="1"/>
  <c r="F15" i="5" s="1"/>
  <c r="F16" i="5" s="1"/>
  <c r="D3" i="1"/>
  <c r="D4" i="1" s="1"/>
  <c r="B3" i="2"/>
  <c r="B4" i="2"/>
  <c r="B5" i="2"/>
  <c r="B6" i="2"/>
  <c r="F17" i="5" l="1"/>
  <c r="F18" i="5" s="1"/>
  <c r="F19" i="5" s="1"/>
  <c r="F20" i="5" s="1"/>
  <c r="J2" i="1"/>
  <c r="J1" i="1"/>
  <c r="J3" i="1"/>
  <c r="J4" i="1"/>
  <c r="F21" i="5" l="1"/>
  <c r="F2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Schubert, Wolfgang</author>
  </authors>
  <commentList>
    <comment ref="B7" authorId="0" shapeId="0" xr:uid="{D4171400-008F-49AE-992F-0455E50C6E7E}">
      <text>
        <r>
          <rPr>
            <b/>
            <sz val="9"/>
            <color indexed="81"/>
            <rFont val="Segoe UI"/>
            <family val="2"/>
          </rPr>
          <t xml:space="preserve">Schubert, Wolfgang: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STRG+Punkt</t>
        </r>
        <r>
          <rPr>
            <sz val="9"/>
            <color indexed="81"/>
            <rFont val="Segoe UI"/>
            <family val="2"/>
          </rPr>
          <t xml:space="preserve"> drücken" damit das Datum eingefügt wird</t>
        </r>
      </text>
    </comment>
  </commentList>
</comments>
</file>

<file path=xl/sharedStrings.xml><?xml version="1.0" encoding="utf-8"?>
<sst xmlns="http://schemas.openxmlformats.org/spreadsheetml/2006/main" count="65" uniqueCount="56">
  <si>
    <t>cw</t>
  </si>
  <si>
    <t xml:space="preserve">Pos. </t>
  </si>
  <si>
    <t>Entry 
Date</t>
  </si>
  <si>
    <t>Process</t>
  </si>
  <si>
    <t>Task</t>
  </si>
  <si>
    <t>Description</t>
  </si>
  <si>
    <t>internal / 
extenal</t>
  </si>
  <si>
    <t>Responsible</t>
  </si>
  <si>
    <t>Due</t>
  </si>
  <si>
    <t>Status</t>
  </si>
  <si>
    <t>Comments/Questions</t>
  </si>
  <si>
    <t>Complete</t>
  </si>
  <si>
    <t>On track</t>
  </si>
  <si>
    <t>At risk</t>
  </si>
  <si>
    <t>Overdue</t>
  </si>
  <si>
    <t>Changehistory</t>
  </si>
  <si>
    <t>Date</t>
  </si>
  <si>
    <t>Resp.</t>
  </si>
  <si>
    <t>Calculation for Graphic
LOP</t>
  </si>
  <si>
    <t>mark</t>
  </si>
  <si>
    <t>Meeting:</t>
  </si>
  <si>
    <t>Datum:</t>
  </si>
  <si>
    <t>Zeit:</t>
  </si>
  <si>
    <t>Ort:</t>
  </si>
  <si>
    <t>other Participants</t>
  </si>
  <si>
    <t>Start</t>
  </si>
  <si>
    <t>Duration</t>
  </si>
  <si>
    <t>Veranstalter:</t>
  </si>
  <si>
    <t>Tel.:</t>
  </si>
  <si>
    <t>TEAMS MEETING</t>
  </si>
  <si>
    <t>Department</t>
  </si>
  <si>
    <r>
      <t xml:space="preserve">Name
</t>
    </r>
    <r>
      <rPr>
        <i/>
        <sz val="10"/>
        <color rgb="FF0000FF"/>
        <rFont val="Calibri"/>
        <family val="2"/>
        <scheme val="minor"/>
      </rPr>
      <t>First and Last Name</t>
    </r>
  </si>
  <si>
    <r>
      <t xml:space="preserve">Vacation
</t>
    </r>
    <r>
      <rPr>
        <i/>
        <sz val="10"/>
        <color rgb="FF0000FF"/>
        <rFont val="Calibri"/>
        <family val="2"/>
        <scheme val="minor"/>
      </rPr>
      <t>from - till</t>
    </r>
  </si>
  <si>
    <t>Click the Button to create a new LOP-Point in the LOP-Sheet. 
The LOP point number and the Entry Date is generated automatically</t>
  </si>
  <si>
    <t>Click the Button to delete a LOP point.
You will be asked which LOP point number should be deleted</t>
  </si>
  <si>
    <t>here the filter for the status area in Column "I" is removed and all LOP points are displayed</t>
  </si>
  <si>
    <t>To be on the safe side, a second query is started asking whether the LOP point should really be deleted</t>
  </si>
  <si>
    <t>To add a LOP point to the agenda, select a cell in the respective LP point and click the button.
Each LOP point must be marked individually</t>
  </si>
  <si>
    <t>Click the Button to create a new LOP-Sheet fro an other Project</t>
  </si>
  <si>
    <t>Click the button to filter the status.
All completed points will be hidden.
Only the Stratus "On track", "at risk" and "Overdue" will be shown</t>
  </si>
  <si>
    <t xml:space="preserve">In the field, enter the LOP point number and confirm with OK
</t>
  </si>
  <si>
    <t>Buttons at the LOP-Sheet</t>
  </si>
  <si>
    <t>Buttons at the Agenda-Sheet</t>
  </si>
  <si>
    <t>Click the Button to get to the LOP list</t>
  </si>
  <si>
    <t>fill in the yellow marked cells at the Agenda Sheet</t>
  </si>
  <si>
    <t>Click the Button to delete all LOP-Points from the last Agenda.
You can create a new Agenda</t>
  </si>
  <si>
    <r>
      <t>Click to create a pdf-File with the filled LOP points for the team
The storage location is the same as the LOP list.
The name of the PDF file is also generated automatically.
"</t>
    </r>
    <r>
      <rPr>
        <b/>
        <sz val="11"/>
        <color theme="1"/>
        <rFont val="Calibri"/>
        <family val="2"/>
        <scheme val="minor"/>
      </rPr>
      <t>Project-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Project number_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Agenda_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Date of creation</t>
    </r>
    <r>
      <rPr>
        <sz val="11"/>
        <color theme="1"/>
        <rFont val="Calibri"/>
        <family val="2"/>
        <scheme val="minor"/>
      </rPr>
      <t>"</t>
    </r>
  </si>
  <si>
    <t>Have to evaluate the Measurement Reports from Kupron for BBG-Parts</t>
  </si>
  <si>
    <t>Hr. Naser</t>
  </si>
  <si>
    <t>U10 und U25</t>
  </si>
  <si>
    <t>B. Naser</t>
  </si>
  <si>
    <t xml:space="preserve">Regelmeeting </t>
  </si>
  <si>
    <t>14:30 - 15:00</t>
  </si>
  <si>
    <t xml:space="preserve">Abstimmung und Planung der Verlagerung </t>
  </si>
  <si>
    <t xml:space="preserve">Hr. Kerschreiter; Hr. Koch; Hr Lehmann; </t>
  </si>
  <si>
    <r>
      <rPr>
        <b/>
        <sz val="14"/>
        <color theme="1"/>
        <rFont val="Calibri"/>
        <family val="2"/>
        <scheme val="minor"/>
      </rPr>
      <t>F-DVS-CORP-010</t>
    </r>
    <r>
      <rPr>
        <sz val="11"/>
        <color theme="1"/>
        <rFont val="Calibri"/>
        <family val="2"/>
        <scheme val="minor"/>
      </rPr>
      <t xml:space="preserve">
Rev. Level: 001
Rev. Date: 11/18/2025
öffentlich o   intern x   vertraulich o  geheim 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</si>
</sst>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yy"/>
    <numFmt numFmtId="166" formatCode="[$-F800]dddd\,\ mmmm\ dd\,\ yyyy"/>
    <numFmt numFmtId="167" formatCode="h:mm;@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0"/>
      <color rgb="FF0000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5"/>
      </top>
      <bottom/>
      <diagonal/>
    </border>
    <border>
      <left style="thin">
        <color auto="1"/>
      </left>
      <right/>
      <top style="thin">
        <color theme="5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5"/>
      </bottom>
      <diagonal/>
    </border>
  </borders>
  <cellStyleXfs count="2">
    <xf numFmtId="0" fontId="0" fillId="0" borderId="0"/>
    <xf numFmtId="0" fontId="5" fillId="0" borderId="0"/>
  </cellStyleXfs>
  <cellXfs count="141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6" fillId="0" borderId="0" xfId="1" applyFont="1"/>
    <xf numFmtId="0" fontId="5" fillId="0" borderId="0" xfId="1"/>
    <xf numFmtId="0" fontId="7" fillId="0" borderId="4" xfId="1" applyFont="1" applyBorder="1" applyAlignment="1">
      <alignment horizontal="left" vertical="center"/>
    </xf>
    <xf numFmtId="0" fontId="8" fillId="0" borderId="5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6" fillId="4" borderId="7" xfId="1" applyFont="1" applyFill="1" applyBorder="1" applyAlignment="1">
      <alignment horizontal="left" vertical="center"/>
    </xf>
    <xf numFmtId="0" fontId="6" fillId="4" borderId="7" xfId="1" applyFont="1" applyFill="1" applyBorder="1" applyAlignment="1">
      <alignment vertical="center"/>
    </xf>
    <xf numFmtId="0" fontId="5" fillId="0" borderId="0" xfId="1" applyAlignment="1">
      <alignment vertical="center"/>
    </xf>
    <xf numFmtId="14" fontId="5" fillId="0" borderId="8" xfId="1" applyNumberFormat="1" applyBorder="1" applyAlignment="1">
      <alignment horizontal="left"/>
    </xf>
    <xf numFmtId="0" fontId="5" fillId="0" borderId="8" xfId="1" applyBorder="1"/>
    <xf numFmtId="14" fontId="5" fillId="0" borderId="9" xfId="1" applyNumberFormat="1" applyBorder="1" applyAlignment="1">
      <alignment horizontal="left"/>
    </xf>
    <xf numFmtId="0" fontId="5" fillId="0" borderId="9" xfId="1" applyBorder="1"/>
    <xf numFmtId="0" fontId="5" fillId="0" borderId="9" xfId="1" quotePrefix="1" applyBorder="1" applyAlignment="1">
      <alignment wrapText="1"/>
    </xf>
    <xf numFmtId="0" fontId="5" fillId="0" borderId="9" xfId="1" applyBorder="1" applyAlignment="1">
      <alignment wrapText="1"/>
    </xf>
    <xf numFmtId="0" fontId="5" fillId="0" borderId="9" xfId="1" applyBorder="1" applyAlignment="1">
      <alignment horizontal="left"/>
    </xf>
    <xf numFmtId="0" fontId="5" fillId="0" borderId="10" xfId="1" applyBorder="1" applyAlignment="1">
      <alignment horizontal="left"/>
    </xf>
    <xf numFmtId="0" fontId="5" fillId="0" borderId="10" xfId="1" applyBorder="1"/>
    <xf numFmtId="0" fontId="5" fillId="0" borderId="0" xfId="1" applyAlignment="1">
      <alignment horizontal="left"/>
    </xf>
    <xf numFmtId="0" fontId="10" fillId="6" borderId="12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top"/>
    </xf>
    <xf numFmtId="0" fontId="11" fillId="3" borderId="2" xfId="0" applyFont="1" applyFill="1" applyBorder="1" applyAlignment="1">
      <alignment horizontal="center" vertical="top" wrapText="1"/>
    </xf>
    <xf numFmtId="0" fontId="11" fillId="3" borderId="2" xfId="0" applyFont="1" applyFill="1" applyBorder="1" applyAlignment="1">
      <alignment horizontal="center" vertical="top"/>
    </xf>
    <xf numFmtId="0" fontId="11" fillId="3" borderId="2" xfId="0" applyFont="1" applyFill="1" applyBorder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10" borderId="0" xfId="0" applyFill="1"/>
    <xf numFmtId="0" fontId="1" fillId="5" borderId="11" xfId="0" applyFont="1" applyFill="1" applyBorder="1" applyAlignment="1">
      <alignment horizontal="right" vertical="center" indent="1"/>
    </xf>
    <xf numFmtId="0" fontId="1" fillId="7" borderId="13" xfId="0" applyFont="1" applyFill="1" applyBorder="1" applyAlignment="1">
      <alignment horizontal="right" vertical="center" indent="1"/>
    </xf>
    <xf numFmtId="0" fontId="1" fillId="8" borderId="14" xfId="0" applyFont="1" applyFill="1" applyBorder="1" applyAlignment="1">
      <alignment horizontal="right" vertical="center" indent="1"/>
    </xf>
    <xf numFmtId="0" fontId="12" fillId="10" borderId="0" xfId="0" applyFont="1" applyFill="1" applyAlignment="1">
      <alignment horizontal="center"/>
    </xf>
    <xf numFmtId="0" fontId="0" fillId="10" borderId="0" xfId="0" applyFill="1" applyAlignment="1">
      <alignment horizontal="left" vertical="center"/>
    </xf>
    <xf numFmtId="0" fontId="0" fillId="9" borderId="0" xfId="0" applyFill="1" applyAlignment="1">
      <alignment vertical="center" wrapText="1"/>
    </xf>
    <xf numFmtId="0" fontId="0" fillId="2" borderId="1" xfId="0" applyFill="1" applyBorder="1"/>
    <xf numFmtId="0" fontId="0" fillId="11" borderId="0" xfId="0" applyFill="1"/>
    <xf numFmtId="0" fontId="13" fillId="10" borderId="0" xfId="0" applyFont="1" applyFill="1"/>
    <xf numFmtId="0" fontId="5" fillId="11" borderId="0" xfId="0" applyFont="1" applyFill="1" applyAlignment="1">
      <alignment horizontal="center" vertical="top"/>
    </xf>
    <xf numFmtId="0" fontId="0" fillId="11" borderId="0" xfId="0" applyFill="1" applyAlignment="1">
      <alignment vertical="center"/>
    </xf>
    <xf numFmtId="0" fontId="0" fillId="9" borderId="0" xfId="0" applyFill="1" applyAlignment="1">
      <alignment horizontal="left" vertical="top" wrapText="1"/>
    </xf>
    <xf numFmtId="0" fontId="14" fillId="9" borderId="0" xfId="0" applyFont="1" applyFill="1" applyAlignment="1">
      <alignment horizontal="left" vertical="top" wrapText="1"/>
    </xf>
    <xf numFmtId="14" fontId="0" fillId="9" borderId="0" xfId="0" applyNumberFormat="1" applyFill="1" applyAlignment="1">
      <alignment horizontal="center" vertical="center" wrapText="1"/>
    </xf>
    <xf numFmtId="165" fontId="0" fillId="10" borderId="0" xfId="0" applyNumberFormat="1" applyFill="1" applyAlignment="1">
      <alignment horizontal="left"/>
    </xf>
    <xf numFmtId="14" fontId="0" fillId="9" borderId="0" xfId="0" applyNumberForma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top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top"/>
    </xf>
    <xf numFmtId="0" fontId="0" fillId="11" borderId="0" xfId="0" applyFill="1" applyAlignment="1">
      <alignment vertical="top"/>
    </xf>
    <xf numFmtId="0" fontId="0" fillId="9" borderId="1" xfId="0" applyFill="1" applyBorder="1" applyAlignment="1">
      <alignment horizontal="center" vertical="center"/>
    </xf>
    <xf numFmtId="0" fontId="0" fillId="2" borderId="2" xfId="0" applyFill="1" applyBorder="1"/>
    <xf numFmtId="0" fontId="0" fillId="1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16" fillId="3" borderId="2" xfId="0" applyFont="1" applyFill="1" applyBorder="1" applyAlignment="1">
      <alignment horizontal="left" vertical="top"/>
    </xf>
    <xf numFmtId="0" fontId="18" fillId="10" borderId="0" xfId="0" applyFont="1" applyFill="1" applyAlignment="1">
      <alignment vertical="top"/>
    </xf>
    <xf numFmtId="0" fontId="3" fillId="12" borderId="13" xfId="0" applyFont="1" applyFill="1" applyBorder="1" applyAlignment="1">
      <alignment horizontal="right" vertical="center" indent="1"/>
    </xf>
    <xf numFmtId="0" fontId="0" fillId="2" borderId="0" xfId="0" applyFill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7" fillId="3" borderId="17" xfId="0" applyFont="1" applyFill="1" applyBorder="1" applyAlignment="1">
      <alignment horizontal="left" vertical="center" wrapText="1"/>
    </xf>
    <xf numFmtId="0" fontId="2" fillId="13" borderId="0" xfId="0" applyFont="1" applyFill="1" applyAlignment="1">
      <alignment horizontal="left" vertical="center"/>
    </xf>
    <xf numFmtId="167" fontId="3" fillId="13" borderId="0" xfId="0" applyNumberFormat="1" applyFont="1" applyFill="1" applyAlignment="1">
      <alignment horizontal="center" vertical="center"/>
    </xf>
    <xf numFmtId="1" fontId="3" fillId="1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167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 indent="2"/>
    </xf>
    <xf numFmtId="0" fontId="0" fillId="0" borderId="7" xfId="0" applyBorder="1" applyAlignment="1">
      <alignment horizontal="left" vertical="top" wrapText="1" indent="2"/>
    </xf>
    <xf numFmtId="0" fontId="0" fillId="0" borderId="20" xfId="0" applyBorder="1" applyAlignment="1">
      <alignment horizontal="left" vertical="top" wrapText="1" indent="2"/>
    </xf>
    <xf numFmtId="0" fontId="0" fillId="0" borderId="7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9" xfId="0" applyBorder="1" applyAlignment="1">
      <alignment horizontal="left" wrapText="1" indent="2"/>
    </xf>
    <xf numFmtId="0" fontId="0" fillId="0" borderId="6" xfId="0" applyBorder="1" applyAlignment="1">
      <alignment wrapText="1"/>
    </xf>
    <xf numFmtId="0" fontId="0" fillId="0" borderId="20" xfId="0" applyBorder="1" applyAlignment="1">
      <alignment vertical="top"/>
    </xf>
    <xf numFmtId="0" fontId="0" fillId="0" borderId="21" xfId="0" applyBorder="1" applyAlignment="1">
      <alignment horizontal="left" vertical="top" wrapText="1" indent="2"/>
    </xf>
    <xf numFmtId="0" fontId="5" fillId="0" borderId="0" xfId="1" applyAlignment="1">
      <alignment wrapText="1"/>
    </xf>
    <xf numFmtId="0" fontId="9" fillId="11" borderId="1" xfId="0" applyFont="1" applyFill="1" applyBorder="1" applyAlignment="1">
      <alignment horizontal="center" vertical="top"/>
    </xf>
    <xf numFmtId="14" fontId="0" fillId="11" borderId="2" xfId="0" applyNumberFormat="1" applyFill="1" applyBorder="1" applyAlignment="1" applyProtection="1">
      <alignment horizontal="center" vertical="top"/>
      <protection locked="0"/>
    </xf>
    <xf numFmtId="0" fontId="0" fillId="11" borderId="2" xfId="0" applyFill="1" applyBorder="1" applyAlignment="1" applyProtection="1">
      <alignment vertical="top" wrapText="1"/>
      <protection locked="0"/>
    </xf>
    <xf numFmtId="0" fontId="0" fillId="11" borderId="2" xfId="0" applyFill="1" applyBorder="1" applyAlignment="1" applyProtection="1">
      <alignment horizontal="left" vertical="top" wrapText="1"/>
      <protection locked="0"/>
    </xf>
    <xf numFmtId="0" fontId="14" fillId="11" borderId="2" xfId="0" applyFont="1" applyFill="1" applyBorder="1" applyAlignment="1" applyProtection="1">
      <alignment horizontal="left" vertical="top" wrapText="1"/>
      <protection locked="0"/>
    </xf>
    <xf numFmtId="0" fontId="0" fillId="11" borderId="2" xfId="0" applyFill="1" applyBorder="1" applyAlignment="1" applyProtection="1">
      <alignment horizontal="center" vertical="top"/>
      <protection locked="0"/>
    </xf>
    <xf numFmtId="14" fontId="0" fillId="11" borderId="2" xfId="0" applyNumberFormat="1" applyFill="1" applyBorder="1" applyAlignment="1" applyProtection="1">
      <alignment horizontal="center" vertical="top" wrapText="1"/>
      <protection locked="0"/>
    </xf>
    <xf numFmtId="0" fontId="2" fillId="11" borderId="2" xfId="0" applyFont="1" applyFill="1" applyBorder="1" applyAlignment="1" applyProtection="1">
      <alignment horizontal="center" vertical="top"/>
      <protection locked="0"/>
    </xf>
    <xf numFmtId="0" fontId="0" fillId="11" borderId="22" xfId="0" applyFill="1" applyBorder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2" fillId="13" borderId="0" xfId="0" quotePrefix="1" applyFont="1" applyFill="1" applyAlignment="1">
      <alignment horizontal="left" vertical="center"/>
    </xf>
    <xf numFmtId="0" fontId="24" fillId="0" borderId="6" xfId="1" applyFont="1" applyBorder="1" applyAlignment="1">
      <alignment vertical="center"/>
    </xf>
    <xf numFmtId="0" fontId="14" fillId="0" borderId="16" xfId="0" applyFont="1" applyBorder="1" applyAlignment="1">
      <alignment horizontal="left" vertical="top" wrapText="1"/>
    </xf>
    <xf numFmtId="0" fontId="0" fillId="11" borderId="2" xfId="0" applyFill="1" applyBorder="1" applyAlignment="1" applyProtection="1">
      <alignment horizontal="center" vertical="top" wrapText="1"/>
      <protection locked="0"/>
    </xf>
    <xf numFmtId="0" fontId="0" fillId="11" borderId="2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wrapText="1"/>
    </xf>
    <xf numFmtId="14" fontId="12" fillId="10" borderId="0" xfId="0" applyNumberFormat="1" applyFont="1" applyFill="1" applyAlignment="1">
      <alignment horizontal="left"/>
    </xf>
    <xf numFmtId="0" fontId="0" fillId="9" borderId="18" xfId="0" applyFill="1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24" fillId="10" borderId="0" xfId="0" applyFont="1" applyFill="1" applyAlignment="1">
      <alignment horizontal="left" vertical="center" wrapText="1"/>
    </xf>
    <xf numFmtId="164" fontId="24" fillId="0" borderId="0" xfId="0" applyNumberFormat="1" applyFont="1" applyAlignment="1">
      <alignment horizontal="left" vertical="center"/>
    </xf>
    <xf numFmtId="0" fontId="2" fillId="13" borderId="0" xfId="0" applyFont="1" applyFill="1" applyAlignment="1">
      <alignment horizontal="left"/>
    </xf>
    <xf numFmtId="166" fontId="3" fillId="13" borderId="0" xfId="0" applyNumberFormat="1" applyFont="1" applyFill="1" applyAlignment="1">
      <alignment horizontal="left" vertical="center" wrapText="1"/>
    </xf>
    <xf numFmtId="20" fontId="3" fillId="0" borderId="0" xfId="0" applyNumberFormat="1" applyFont="1" applyAlignment="1">
      <alignment horizontal="left" vertical="center" wrapText="1"/>
    </xf>
    <xf numFmtId="20" fontId="3" fillId="13" borderId="0" xfId="0" applyNumberFormat="1" applyFont="1" applyFill="1" applyAlignment="1">
      <alignment horizontal="left" vertical="center" wrapText="1"/>
    </xf>
    <xf numFmtId="0" fontId="6" fillId="0" borderId="0" xfId="1" applyFont="1" applyAlignment="1">
      <alignment horizontal="left" vertical="center" wrapText="1"/>
    </xf>
    <xf numFmtId="0" fontId="0" fillId="0" borderId="7" xfId="0" applyBorder="1" applyAlignment="1">
      <alignment horizontal="center" vertical="top"/>
    </xf>
    <xf numFmtId="0" fontId="0" fillId="0" borderId="7" xfId="0" applyBorder="1" applyAlignment="1">
      <alignment horizontal="left" vertical="top" wrapText="1" indent="2"/>
    </xf>
    <xf numFmtId="0" fontId="23" fillId="3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21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1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20" xfId="0" applyBorder="1" applyAlignment="1">
      <alignment horizontal="left" vertical="top" wrapText="1" indent="2"/>
    </xf>
    <xf numFmtId="0" fontId="0" fillId="0" borderId="21" xfId="0" applyBorder="1" applyAlignment="1">
      <alignment horizontal="left" vertical="top" wrapText="1" indent="2"/>
    </xf>
  </cellXfs>
  <cellStyles count="2">
    <cellStyle name="Standard" xfId="0" builtinId="0"/>
    <cellStyle name="Standard 2" xfId="1" xr:uid="{04283CD7-B603-4A36-A3C7-2162EB3976F7}"/>
  </cellStyles>
  <dxfs count="35">
    <dxf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  <top style="thin">
          <color theme="5"/>
        </top>
        <bottom style="thin">
          <color theme="5"/>
        </bottom>
        <vertical/>
        <horizontal/>
      </border>
    </dxf>
    <dxf>
      <numFmt numFmtId="168" formatCode="d/m/yy;@"/>
      <fill>
        <patternFill patternType="solid">
          <fgColor indexed="64"/>
          <bgColor theme="0" tint="-4.9989318521683403E-2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5"/>
        </top>
        <bottom style="thin">
          <color theme="5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0" formatCode="General"/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dd/mm/yy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9" formatCode="dd/mm/yyyy"/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top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dd/mm/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numFmt numFmtId="19" formatCode="dd/mm/yyyy"/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diagonalUp="0" diagonalDown="0">
        <left/>
        <right/>
        <top/>
        <bottom/>
      </border>
    </dxf>
    <dxf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0070C0"/>
        </patternFill>
      </fill>
    </dxf>
    <dxf>
      <fill>
        <patternFill patternType="solid">
          <bgColor theme="5" tint="0.79998168889431442"/>
        </patternFill>
      </fill>
    </dxf>
  </dxfs>
  <tableStyles count="1" defaultTableStyle="TableStyleMedium2" defaultPivotStyle="PivotStyleMedium9">
    <tableStyle name="Invisible" pivot="0" table="0" count="0" xr9:uid="{2191FA32-C43C-4DAD-B7AC-332FE4E16ECE}"/>
  </tableStyles>
  <colors>
    <mruColors>
      <color rgb="FF008000"/>
      <color rgb="FFF2F2F2"/>
      <color rgb="FF0000FF"/>
      <color rgb="FF808080"/>
      <color rgb="FF000080"/>
      <color rgb="FF3333CC"/>
      <color rgb="FFF2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softEdge rad="0"/>
            </a:effectLst>
            <a:scene3d>
              <a:camera prst="orthographicFront"/>
              <a:lightRig rig="threePt" dir="t"/>
            </a:scene3d>
            <a:sp3d>
              <a:bevelT w="38100" h="38100"/>
              <a:bevelB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2-0E94-4D91-A982-D27A80958E72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4-0E94-4D91-A982-D27A80958E72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6-0E94-4D91-A982-D27A80958E72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8-0E94-4D91-A982-D27A80958E72}"/>
              </c:ext>
            </c:extLst>
          </c:dPt>
          <c:cat>
            <c:strRef>
              <c:f>LOP!$I$1:$I$4</c:f>
              <c:strCache>
                <c:ptCount val="4"/>
                <c:pt idx="0">
                  <c:v>Complete</c:v>
                </c:pt>
                <c:pt idx="1">
                  <c:v>On track</c:v>
                </c:pt>
                <c:pt idx="2">
                  <c:v>At risk</c:v>
                </c:pt>
                <c:pt idx="3">
                  <c:v>Overdue</c:v>
                </c:pt>
              </c:strCache>
            </c:strRef>
          </c:cat>
          <c:val>
            <c:numRef>
              <c:f>'Calculation Sheet'!$B$3:$B$6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94-4D91-A982-D27A80958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overlap val="50"/>
        <c:axId val="185771704"/>
        <c:axId val="185772096"/>
      </c:barChart>
      <c:catAx>
        <c:axId val="185771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772096"/>
        <c:crosses val="autoZero"/>
        <c:auto val="1"/>
        <c:lblAlgn val="ctr"/>
        <c:lblOffset val="100"/>
        <c:noMultiLvlLbl val="0"/>
      </c:catAx>
      <c:valAx>
        <c:axId val="1857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77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image" Target="../media/image4.svg"/><Relationship Id="rId15" Type="http://schemas.openxmlformats.org/officeDocument/2006/relationships/image" Target="cid:image001.png@01DBC351.81CBB560" TargetMode="External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OP!A1"/><Relationship Id="rId2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image" Target="../media/image17.png"/><Relationship Id="rId5" Type="http://schemas.openxmlformats.org/officeDocument/2006/relationships/image" Target="../media/image16.svg"/><Relationship Id="rId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102577</xdr:colOff>
      <xdr:row>0</xdr:row>
      <xdr:rowOff>43961</xdr:rowOff>
    </xdr:from>
    <xdr:to>
      <xdr:col>8</xdr:col>
      <xdr:colOff>849923</xdr:colOff>
      <xdr:row>0</xdr:row>
      <xdr:rowOff>256442</xdr:rowOff>
    </xdr:to>
    <xdr:sp macro="[0]!Complete" textlink="">
      <xdr:nvSpPr>
        <xdr:cNvPr id="9" name="Rechteck 8">
          <a:extLst>
            <a:ext uri="{FF2B5EF4-FFF2-40B4-BE49-F238E27FC236}">
              <a16:creationId xmlns:a16="http://schemas.microsoft.com/office/drawing/2014/main" id="{A3B67DC0-7BA2-4D99-AE51-0CA87C9CD6E2}"/>
            </a:ext>
          </a:extLst>
        </xdr:cNvPr>
        <xdr:cNvSpPr/>
      </xdr:nvSpPr>
      <xdr:spPr>
        <a:xfrm>
          <a:off x="15098737" y="43961"/>
          <a:ext cx="74734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1</xdr:row>
      <xdr:rowOff>51874</xdr:rowOff>
    </xdr:from>
    <xdr:to>
      <xdr:col>8</xdr:col>
      <xdr:colOff>804203</xdr:colOff>
      <xdr:row>1</xdr:row>
      <xdr:rowOff>264355</xdr:rowOff>
    </xdr:to>
    <xdr:sp macro="[0]!On_Track" textlink="">
      <xdr:nvSpPr>
        <xdr:cNvPr id="10" name="Rechteck 9">
          <a:extLst>
            <a:ext uri="{FF2B5EF4-FFF2-40B4-BE49-F238E27FC236}">
              <a16:creationId xmlns:a16="http://schemas.microsoft.com/office/drawing/2014/main" id="{6E5E78CE-3069-4876-A8D9-320C0A4EE818}"/>
            </a:ext>
          </a:extLst>
        </xdr:cNvPr>
        <xdr:cNvSpPr/>
      </xdr:nvSpPr>
      <xdr:spPr>
        <a:xfrm>
          <a:off x="13772857" y="364294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2</xdr:row>
      <xdr:rowOff>51873</xdr:rowOff>
    </xdr:from>
    <xdr:to>
      <xdr:col>8</xdr:col>
      <xdr:colOff>804203</xdr:colOff>
      <xdr:row>2</xdr:row>
      <xdr:rowOff>264354</xdr:rowOff>
    </xdr:to>
    <xdr:sp macro="[0]!At_Risk" textlink="">
      <xdr:nvSpPr>
        <xdr:cNvPr id="11" name="Rechteck 10">
          <a:extLst>
            <a:ext uri="{FF2B5EF4-FFF2-40B4-BE49-F238E27FC236}">
              <a16:creationId xmlns:a16="http://schemas.microsoft.com/office/drawing/2014/main" id="{A688FCC0-A1FD-485E-A37D-83102DF9AFA0}"/>
            </a:ext>
          </a:extLst>
        </xdr:cNvPr>
        <xdr:cNvSpPr/>
      </xdr:nvSpPr>
      <xdr:spPr>
        <a:xfrm>
          <a:off x="13772857" y="676713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3</xdr:row>
      <xdr:rowOff>51873</xdr:rowOff>
    </xdr:from>
    <xdr:to>
      <xdr:col>8</xdr:col>
      <xdr:colOff>804203</xdr:colOff>
      <xdr:row>3</xdr:row>
      <xdr:rowOff>264354</xdr:rowOff>
    </xdr:to>
    <xdr:sp macro="[0]!Overdue" textlink="">
      <xdr:nvSpPr>
        <xdr:cNvPr id="12" name="Rechteck 11">
          <a:extLst>
            <a:ext uri="{FF2B5EF4-FFF2-40B4-BE49-F238E27FC236}">
              <a16:creationId xmlns:a16="http://schemas.microsoft.com/office/drawing/2014/main" id="{78774C5F-A7BF-4696-9BD7-22B58BFE858B}"/>
            </a:ext>
          </a:extLst>
        </xdr:cNvPr>
        <xdr:cNvSpPr/>
      </xdr:nvSpPr>
      <xdr:spPr>
        <a:xfrm>
          <a:off x="13772857" y="989133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5453062</xdr:colOff>
      <xdr:row>0</xdr:row>
      <xdr:rowOff>0</xdr:rowOff>
    </xdr:from>
    <xdr:to>
      <xdr:col>6</xdr:col>
      <xdr:colOff>734761</xdr:colOff>
      <xdr:row>4</xdr:row>
      <xdr:rowOff>6626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795F2ED6-D070-4124-8039-F699111F6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781774</xdr:colOff>
      <xdr:row>0</xdr:row>
      <xdr:rowOff>56580</xdr:rowOff>
    </xdr:from>
    <xdr:to>
      <xdr:col>7</xdr:col>
      <xdr:colOff>817558</xdr:colOff>
      <xdr:row>3</xdr:row>
      <xdr:rowOff>261147</xdr:rowOff>
    </xdr:to>
    <xdr:sp macro="[0]!Set_Filter_Complete" textlink="">
      <xdr:nvSpPr>
        <xdr:cNvPr id="15" name="Rechteck 14">
          <a:extLst>
            <a:ext uri="{FF2B5EF4-FFF2-40B4-BE49-F238E27FC236}">
              <a16:creationId xmlns:a16="http://schemas.microsoft.com/office/drawing/2014/main" id="{D5FEF9AA-1DF6-4B19-A0FB-5B980C10238C}"/>
            </a:ext>
          </a:extLst>
        </xdr:cNvPr>
        <xdr:cNvSpPr/>
      </xdr:nvSpPr>
      <xdr:spPr>
        <a:xfrm>
          <a:off x="12192724" y="56580"/>
          <a:ext cx="1150209" cy="1147542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 extrusionH="19050">
          <a:bevelT w="12700" h="12700"/>
          <a:bevelB w="12700" h="12700"/>
          <a:contourClr>
            <a:schemeClr val="bg1">
              <a:lumMod val="50000"/>
            </a:schemeClr>
          </a:contourClr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400" b="1" u="none">
              <a:solidFill>
                <a:sysClr val="windowText" lastClr="000000"/>
              </a:solidFill>
            </a:rPr>
            <a:t>Set</a:t>
          </a:r>
          <a:r>
            <a:rPr lang="de-DE" sz="1400" b="1" u="none" baseline="0">
              <a:solidFill>
                <a:sysClr val="windowText" lastClr="000000"/>
              </a:solidFill>
            </a:rPr>
            <a:t> Filter</a:t>
          </a:r>
        </a:p>
        <a:p>
          <a:pPr algn="ctr"/>
          <a:r>
            <a:rPr lang="de-DE" sz="1400" b="1" u="sng">
              <a:solidFill>
                <a:sysClr val="windowText" lastClr="000000"/>
              </a:solidFill>
            </a:rPr>
            <a:t> </a:t>
          </a:r>
        </a:p>
        <a:p>
          <a:pPr lvl="0" algn="ctr"/>
          <a:r>
            <a:rPr lang="de-DE" sz="1200" b="1" i="0" u="none">
              <a:solidFill>
                <a:srgbClr val="0070C0"/>
              </a:solidFill>
            </a:rPr>
            <a:t>"</a:t>
          </a:r>
          <a:r>
            <a:rPr lang="de-DE" sz="1200" b="1" i="1" u="sng">
              <a:solidFill>
                <a:srgbClr val="0070C0"/>
              </a:solidFill>
            </a:rPr>
            <a:t>On</a:t>
          </a:r>
          <a:r>
            <a:rPr lang="de-DE" sz="1200" b="1" i="1" u="sng" baseline="0">
              <a:solidFill>
                <a:srgbClr val="0070C0"/>
              </a:solidFill>
            </a:rPr>
            <a:t> track</a:t>
          </a:r>
          <a:r>
            <a:rPr lang="de-DE" sz="1200" b="1" baseline="0">
              <a:solidFill>
                <a:srgbClr val="0070C0"/>
              </a:solidFill>
            </a:rPr>
            <a:t>"</a:t>
          </a:r>
        </a:p>
        <a:p>
          <a:pPr lvl="0" algn="ctr"/>
          <a:r>
            <a:rPr lang="de-DE" sz="1200" b="1">
              <a:solidFill>
                <a:srgbClr val="FFFF00"/>
              </a:solidFill>
            </a:rPr>
            <a:t>"</a:t>
          </a:r>
          <a:r>
            <a:rPr lang="de-DE" sz="1200" b="1" i="1" u="sng">
              <a:solidFill>
                <a:srgbClr val="FFFF00"/>
              </a:solidFill>
            </a:rPr>
            <a:t>At risk</a:t>
          </a:r>
          <a:r>
            <a:rPr lang="de-DE" sz="1200" b="1">
              <a:solidFill>
                <a:srgbClr val="FFFF00"/>
              </a:solidFill>
            </a:rPr>
            <a:t>"</a:t>
          </a:r>
        </a:p>
        <a:p>
          <a:pPr lvl="0" algn="ctr"/>
          <a:r>
            <a:rPr lang="de-DE" sz="1200" b="1">
              <a:solidFill>
                <a:srgbClr val="FF0000"/>
              </a:solidFill>
            </a:rPr>
            <a:t>"</a:t>
          </a:r>
          <a:r>
            <a:rPr lang="de-DE" sz="1200" b="1" i="1" u="sng">
              <a:solidFill>
                <a:srgbClr val="FF0000"/>
              </a:solidFill>
            </a:rPr>
            <a:t>Overdue</a:t>
          </a:r>
          <a:r>
            <a:rPr lang="de-DE" sz="1200" b="1">
              <a:solidFill>
                <a:srgbClr val="FF0000"/>
              </a:solidFill>
            </a:rPr>
            <a:t>"</a:t>
          </a:r>
        </a:p>
      </xdr:txBody>
    </xdr:sp>
    <xdr:clientData/>
  </xdr:twoCellAnchor>
  <xdr:twoCellAnchor editAs="absolute">
    <xdr:from>
      <xdr:col>3</xdr:col>
      <xdr:colOff>1414384</xdr:colOff>
      <xdr:row>0</xdr:row>
      <xdr:rowOff>92551</xdr:rowOff>
    </xdr:from>
    <xdr:to>
      <xdr:col>4</xdr:col>
      <xdr:colOff>4941052</xdr:colOff>
      <xdr:row>3</xdr:row>
      <xdr:rowOff>92481</xdr:rowOff>
    </xdr:to>
    <xdr:grpSp>
      <xdr:nvGrpSpPr>
        <xdr:cNvPr id="16" name="Beschriftung">
          <a:extLst>
            <a:ext uri="{FF2B5EF4-FFF2-40B4-BE49-F238E27FC236}">
              <a16:creationId xmlns:a16="http://schemas.microsoft.com/office/drawing/2014/main" id="{F8755A6E-02C3-4442-A01A-02DD401F1443}"/>
            </a:ext>
          </a:extLst>
        </xdr:cNvPr>
        <xdr:cNvGrpSpPr/>
      </xdr:nvGrpSpPr>
      <xdr:grpSpPr>
        <a:xfrm>
          <a:off x="3935708" y="92551"/>
          <a:ext cx="4994638" cy="941224"/>
          <a:chOff x="4281279" y="143355"/>
          <a:chExt cx="5021380" cy="987222"/>
        </a:xfrm>
      </xdr:grpSpPr>
      <xdr:sp macro="" textlink="">
        <xdr:nvSpPr>
          <xdr:cNvPr id="17" name="Database_Assembly">
            <a:extLst>
              <a:ext uri="{FF2B5EF4-FFF2-40B4-BE49-F238E27FC236}">
                <a16:creationId xmlns:a16="http://schemas.microsoft.com/office/drawing/2014/main" id="{F19BAB1E-15D1-6839-5C8C-3221C2E97E67}"/>
              </a:ext>
            </a:extLst>
          </xdr:cNvPr>
          <xdr:cNvSpPr txBox="1"/>
        </xdr:nvSpPr>
        <xdr:spPr>
          <a:xfrm>
            <a:off x="4853608" y="256761"/>
            <a:ext cx="4449051" cy="4406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24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roject -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ist of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oints</a:t>
            </a:r>
          </a:p>
        </xdr:txBody>
      </xdr:sp>
      <xdr:cxnSp macro="">
        <xdr:nvCxnSpPr>
          <xdr:cNvPr id="18" name="Linie Database_Assembly">
            <a:extLst>
              <a:ext uri="{FF2B5EF4-FFF2-40B4-BE49-F238E27FC236}">
                <a16:creationId xmlns:a16="http://schemas.microsoft.com/office/drawing/2014/main" id="{9DB590B7-8DAE-09B6-869F-485877004887}"/>
              </a:ext>
            </a:extLst>
          </xdr:cNvPr>
          <xdr:cNvCxnSpPr/>
        </xdr:nvCxnSpPr>
        <xdr:spPr>
          <a:xfrm>
            <a:off x="4281279" y="727215"/>
            <a:ext cx="4778223" cy="0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REPORTING_Assembly">
            <a:extLst>
              <a:ext uri="{FF2B5EF4-FFF2-40B4-BE49-F238E27FC236}">
                <a16:creationId xmlns:a16="http://schemas.microsoft.com/office/drawing/2014/main" id="{35B061A2-4C6B-D554-BB5B-FA5F485B770C}"/>
              </a:ext>
            </a:extLst>
          </xdr:cNvPr>
          <xdr:cNvSpPr txBox="1"/>
        </xdr:nvSpPr>
        <xdr:spPr>
          <a:xfrm>
            <a:off x="4853609" y="689114"/>
            <a:ext cx="4209432" cy="4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1400" b="0" i="0" u="none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                  </a:t>
            </a:r>
            <a:r>
              <a:rPr lang="de-DE" sz="1400" b="1" i="0" u="sng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Project: xxx</a:t>
            </a:r>
          </a:p>
        </xdr:txBody>
      </xdr:sp>
      <xdr:pic>
        <xdr:nvPicPr>
          <xdr:cNvPr id="20" name="Grafik 19" descr="Werbung Silhouette">
            <a:extLst>
              <a:ext uri="{FF2B5EF4-FFF2-40B4-BE49-F238E27FC236}">
                <a16:creationId xmlns:a16="http://schemas.microsoft.com/office/drawing/2014/main" id="{B64C1414-8686-C0A9-7683-27E8F3135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4281280" y="143355"/>
            <a:ext cx="540828" cy="542357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0</xdr:row>
      <xdr:rowOff>56474</xdr:rowOff>
    </xdr:from>
    <xdr:to>
      <xdr:col>3</xdr:col>
      <xdr:colOff>788594</xdr:colOff>
      <xdr:row>0</xdr:row>
      <xdr:rowOff>285326</xdr:rowOff>
    </xdr:to>
    <xdr:grpSp>
      <xdr:nvGrpSpPr>
        <xdr:cNvPr id="3" name="New LOP Sheet">
          <a:extLst>
            <a:ext uri="{FF2B5EF4-FFF2-40B4-BE49-F238E27FC236}">
              <a16:creationId xmlns:a16="http://schemas.microsoft.com/office/drawing/2014/main" id="{429B1936-7EAA-9F68-04BE-964B9E7DFC88}"/>
            </a:ext>
          </a:extLst>
        </xdr:cNvPr>
        <xdr:cNvGrpSpPr/>
      </xdr:nvGrpSpPr>
      <xdr:grpSpPr>
        <a:xfrm>
          <a:off x="1743272" y="56474"/>
          <a:ext cx="1566646" cy="228852"/>
          <a:chOff x="1579306" y="76815"/>
          <a:chExt cx="1499420" cy="230444"/>
        </a:xfrm>
      </xdr:grpSpPr>
      <xdr:sp macro="[0]!KopiereWerteAktiveZeile" textlink="">
        <xdr:nvSpPr>
          <xdr:cNvPr id="2" name="Rechteck 1">
            <a:extLst>
              <a:ext uri="{FF2B5EF4-FFF2-40B4-BE49-F238E27FC236}">
                <a16:creationId xmlns:a16="http://schemas.microsoft.com/office/drawing/2014/main" id="{E4E0B9E9-0631-7CD4-3E87-C8CAA5345006}"/>
              </a:ext>
            </a:extLst>
          </xdr:cNvPr>
          <xdr:cNvSpPr/>
        </xdr:nvSpPr>
        <xdr:spPr>
          <a:xfrm>
            <a:off x="1579306" y="76815"/>
            <a:ext cx="1499420" cy="230444"/>
          </a:xfrm>
          <a:prstGeom prst="rect">
            <a:avLst/>
          </a:prstGeom>
          <a:solidFill>
            <a:schemeClr val="accent4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 baseline="0">
                <a:solidFill>
                  <a:srgbClr val="C00000"/>
                </a:solidFill>
              </a:rPr>
              <a:t>AGENDA Point</a:t>
            </a:r>
            <a:endParaRPr lang="de-DE" sz="1200" b="0">
              <a:solidFill>
                <a:srgbClr val="C00000"/>
              </a:solidFill>
            </a:endParaRPr>
          </a:p>
        </xdr:txBody>
      </xdr:sp>
      <xdr:pic macro="[0]!KopiereWerteAktiveZeile">
        <xdr:nvPicPr>
          <xdr:cNvPr id="42" name="Grafik 41" descr="Klemmbrett teilweise angekreuzt mit einfarbiger Füllung">
            <a:extLst>
              <a:ext uri="{FF2B5EF4-FFF2-40B4-BE49-F238E27FC236}">
                <a16:creationId xmlns:a16="http://schemas.microsoft.com/office/drawing/2014/main" id="{6EA97D82-C0BE-8348-9902-9AEC6C0AF0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636233" y="92006"/>
            <a:ext cx="188600" cy="19745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1</xdr:row>
      <xdr:rowOff>98094</xdr:rowOff>
    </xdr:from>
    <xdr:to>
      <xdr:col>3</xdr:col>
      <xdr:colOff>788594</xdr:colOff>
      <xdr:row>2</xdr:row>
      <xdr:rowOff>18103</xdr:rowOff>
    </xdr:to>
    <xdr:grpSp>
      <xdr:nvGrpSpPr>
        <xdr:cNvPr id="34" name="Clear Filter">
          <a:extLst>
            <a:ext uri="{FF2B5EF4-FFF2-40B4-BE49-F238E27FC236}">
              <a16:creationId xmlns:a16="http://schemas.microsoft.com/office/drawing/2014/main" id="{62D8811E-7B30-D580-6EDD-2ED684C86405}"/>
            </a:ext>
          </a:extLst>
        </xdr:cNvPr>
        <xdr:cNvGrpSpPr/>
      </xdr:nvGrpSpPr>
      <xdr:grpSpPr>
        <a:xfrm>
          <a:off x="1743272" y="411859"/>
          <a:ext cx="1566646" cy="233773"/>
          <a:chOff x="1579538" y="352653"/>
          <a:chExt cx="1499651" cy="230444"/>
        </a:xfrm>
      </xdr:grpSpPr>
      <xdr:sp macro="[0]!Filter_loeschen" textlink="">
        <xdr:nvSpPr>
          <xdr:cNvPr id="28" name="Rechteck 27">
            <a:extLst>
              <a:ext uri="{FF2B5EF4-FFF2-40B4-BE49-F238E27FC236}">
                <a16:creationId xmlns:a16="http://schemas.microsoft.com/office/drawing/2014/main" id="{F854BF20-2EEA-E946-5B99-21AE142E2EF4}"/>
              </a:ext>
            </a:extLst>
          </xdr:cNvPr>
          <xdr:cNvSpPr/>
        </xdr:nvSpPr>
        <xdr:spPr>
          <a:xfrm>
            <a:off x="1579538" y="352653"/>
            <a:ext cx="1499651" cy="230444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Clear Filter Selection</a:t>
            </a:r>
          </a:p>
        </xdr:txBody>
      </xdr:sp>
      <xdr:pic macro="[0]!Filter_loeschen">
        <xdr:nvPicPr>
          <xdr:cNvPr id="45" name="Grafik 44" descr="Filter Silhouette">
            <a:extLst>
              <a:ext uri="{FF2B5EF4-FFF2-40B4-BE49-F238E27FC236}">
                <a16:creationId xmlns:a16="http://schemas.microsoft.com/office/drawing/2014/main" id="{8CA76BF6-E30F-2817-4237-47F89C9D3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32152" y="367368"/>
            <a:ext cx="207301" cy="197388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2</xdr:row>
      <xdr:rowOff>78155</xdr:rowOff>
    </xdr:from>
    <xdr:to>
      <xdr:col>3</xdr:col>
      <xdr:colOff>788594</xdr:colOff>
      <xdr:row>3</xdr:row>
      <xdr:rowOff>624</xdr:rowOff>
    </xdr:to>
    <xdr:grpSp>
      <xdr:nvGrpSpPr>
        <xdr:cNvPr id="33" name="Delete LOP Point">
          <a:extLst>
            <a:ext uri="{FF2B5EF4-FFF2-40B4-BE49-F238E27FC236}">
              <a16:creationId xmlns:a16="http://schemas.microsoft.com/office/drawing/2014/main" id="{8288318B-3FD8-CDEC-F573-5F50EE9208DF}"/>
            </a:ext>
          </a:extLst>
        </xdr:cNvPr>
        <xdr:cNvGrpSpPr/>
      </xdr:nvGrpSpPr>
      <xdr:grpSpPr>
        <a:xfrm>
          <a:off x="1743272" y="705684"/>
          <a:ext cx="1566646" cy="236234"/>
          <a:chOff x="1579538" y="614590"/>
          <a:chExt cx="1499651" cy="227636"/>
        </a:xfrm>
      </xdr:grpSpPr>
      <xdr:sp macro="[0]!CommandButton2_Click" textlink="">
        <xdr:nvSpPr>
          <xdr:cNvPr id="30" name="Rechteck 29">
            <a:extLst>
              <a:ext uri="{FF2B5EF4-FFF2-40B4-BE49-F238E27FC236}">
                <a16:creationId xmlns:a16="http://schemas.microsoft.com/office/drawing/2014/main" id="{B6CE06BA-6E8D-C9B4-5C27-E15B210555DA}"/>
              </a:ext>
            </a:extLst>
          </xdr:cNvPr>
          <xdr:cNvSpPr/>
        </xdr:nvSpPr>
        <xdr:spPr>
          <a:xfrm>
            <a:off x="1579538" y="614590"/>
            <a:ext cx="1499651" cy="227636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Delete LOP Point</a:t>
            </a:r>
          </a:p>
        </xdr:txBody>
      </xdr:sp>
      <xdr:pic macro="[0]!CommandButton2_Click">
        <xdr:nvPicPr>
          <xdr:cNvPr id="5" name="Grafik 4" descr="Radierer Silhouette">
            <a:extLst>
              <a:ext uri="{FF2B5EF4-FFF2-40B4-BE49-F238E27FC236}">
                <a16:creationId xmlns:a16="http://schemas.microsoft.com/office/drawing/2014/main" id="{25019D4D-AAF3-DCD4-E0F6-ADB3172E2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624043" y="626784"/>
            <a:ext cx="196593" cy="195587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3</xdr:row>
      <xdr:rowOff>56632</xdr:rowOff>
    </xdr:from>
    <xdr:to>
      <xdr:col>3</xdr:col>
      <xdr:colOff>788594</xdr:colOff>
      <xdr:row>3</xdr:row>
      <xdr:rowOff>285171</xdr:rowOff>
    </xdr:to>
    <xdr:grpSp>
      <xdr:nvGrpSpPr>
        <xdr:cNvPr id="32" name="New LOP Point">
          <a:extLst>
            <a:ext uri="{FF2B5EF4-FFF2-40B4-BE49-F238E27FC236}">
              <a16:creationId xmlns:a16="http://schemas.microsoft.com/office/drawing/2014/main" id="{72297CC9-9A0A-939A-D6C0-0586D04C7C8B}"/>
            </a:ext>
          </a:extLst>
        </xdr:cNvPr>
        <xdr:cNvGrpSpPr/>
      </xdr:nvGrpSpPr>
      <xdr:grpSpPr>
        <a:xfrm>
          <a:off x="1743272" y="997926"/>
          <a:ext cx="1566646" cy="228539"/>
          <a:chOff x="1579538" y="884166"/>
          <a:chExt cx="1499651" cy="227636"/>
        </a:xfrm>
      </xdr:grpSpPr>
      <xdr:sp macro="[0]!New_Point" textlink="">
        <xdr:nvSpPr>
          <xdr:cNvPr id="31" name="Rechteck 30">
            <a:extLst>
              <a:ext uri="{FF2B5EF4-FFF2-40B4-BE49-F238E27FC236}">
                <a16:creationId xmlns:a16="http://schemas.microsoft.com/office/drawing/2014/main" id="{F017C448-5D5B-8C73-0624-68F5191FDF6C}"/>
              </a:ext>
            </a:extLst>
          </xdr:cNvPr>
          <xdr:cNvSpPr/>
        </xdr:nvSpPr>
        <xdr:spPr>
          <a:xfrm>
            <a:off x="1579538" y="884166"/>
            <a:ext cx="1499651" cy="227636"/>
          </a:xfrm>
          <a:prstGeom prst="rect">
            <a:avLst/>
          </a:prstGeom>
          <a:solidFill>
            <a:srgbClr val="92D050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New LOP Point</a:t>
            </a:r>
          </a:p>
        </xdr:txBody>
      </xdr:sp>
      <xdr:pic macro="[0]!New_Point">
        <xdr:nvPicPr>
          <xdr:cNvPr id="7" name="Grafik 6" descr="new Point">
            <a:extLst>
              <a:ext uri="{FF2B5EF4-FFF2-40B4-BE49-F238E27FC236}">
                <a16:creationId xmlns:a16="http://schemas.microsoft.com/office/drawing/2014/main" id="{75A76C04-FDDC-5792-D2A6-A5C457991435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630866" y="897940"/>
            <a:ext cx="195606" cy="19558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20086</xdr:colOff>
      <xdr:row>1</xdr:row>
      <xdr:rowOff>19019</xdr:rowOff>
    </xdr:from>
    <xdr:to>
      <xdr:col>1</xdr:col>
      <xdr:colOff>915660</xdr:colOff>
      <xdr:row>1</xdr:row>
      <xdr:rowOff>19024</xdr:rowOff>
    </xdr:to>
    <xdr:sp macro="" textlink="">
      <xdr:nvSpPr>
        <xdr:cNvPr id="39" name="Rechteck 38">
          <a:extLst>
            <a:ext uri="{FF2B5EF4-FFF2-40B4-BE49-F238E27FC236}">
              <a16:creationId xmlns:a16="http://schemas.microsoft.com/office/drawing/2014/main" id="{569B269D-4552-393B-E1D9-4242176A8BF6}"/>
            </a:ext>
          </a:extLst>
        </xdr:cNvPr>
        <xdr:cNvSpPr/>
      </xdr:nvSpPr>
      <xdr:spPr>
        <a:xfrm rot="5400000">
          <a:off x="814823" y="-472188"/>
          <a:ext cx="10800" cy="1621864"/>
        </a:xfrm>
        <a:prstGeom prst="rect">
          <a:avLst/>
        </a:prstGeom>
        <a:gradFill>
          <a:gsLst>
            <a:gs pos="0">
              <a:schemeClr val="bg1"/>
            </a:gs>
            <a:gs pos="99083">
              <a:schemeClr val="bg1"/>
            </a:gs>
            <a:gs pos="76147">
              <a:schemeClr val="accent2"/>
            </a:gs>
            <a:gs pos="23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254718</xdr:colOff>
      <xdr:row>3</xdr:row>
      <xdr:rowOff>150394</xdr:rowOff>
    </xdr:from>
    <xdr:to>
      <xdr:col>4</xdr:col>
      <xdr:colOff>5257850</xdr:colOff>
      <xdr:row>4</xdr:row>
      <xdr:rowOff>0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E2A934DB-0468-0086-77D6-892DC14BA455}"/>
            </a:ext>
          </a:extLst>
        </xdr:cNvPr>
        <xdr:cNvSpPr txBox="1">
          <a:spLocks noChangeArrowheads="1"/>
        </xdr:cNvSpPr>
      </xdr:nvSpPr>
      <xdr:spPr bwMode="auto">
        <a:xfrm>
          <a:off x="3899066" y="1094611"/>
          <a:ext cx="5003132" cy="16434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DE" sz="900" b="0" i="0" u="none" strike="noStrike" baseline="0">
              <a:solidFill>
                <a:srgbClr val="FF0000"/>
              </a:solidFill>
              <a:latin typeface="Calibri"/>
              <a:cs typeface="Calibri"/>
            </a:rPr>
            <a:t> Please do not Delete Row 8 or LOP Pos. 1 | For a new LOP list, enter the date in CELL "B8"</a:t>
          </a:r>
        </a:p>
      </xdr:txBody>
    </xdr:sp>
    <xdr:clientData/>
  </xdr:twoCellAnchor>
  <xdr:twoCellAnchor editAs="absolute">
    <xdr:from>
      <xdr:col>0</xdr:col>
      <xdr:colOff>91502</xdr:colOff>
      <xdr:row>0</xdr:row>
      <xdr:rowOff>56474</xdr:rowOff>
    </xdr:from>
    <xdr:to>
      <xdr:col>1</xdr:col>
      <xdr:colOff>720051</xdr:colOff>
      <xdr:row>0</xdr:row>
      <xdr:rowOff>285326</xdr:rowOff>
    </xdr:to>
    <xdr:grpSp>
      <xdr:nvGrpSpPr>
        <xdr:cNvPr id="8" name="New LOP Sheet">
          <a:extLst>
            <a:ext uri="{FF2B5EF4-FFF2-40B4-BE49-F238E27FC236}">
              <a16:creationId xmlns:a16="http://schemas.microsoft.com/office/drawing/2014/main" id="{6E3C5B0D-5E3E-233D-7C1A-1CB7717D293D}"/>
            </a:ext>
          </a:extLst>
        </xdr:cNvPr>
        <xdr:cNvGrpSpPr/>
      </xdr:nvGrpSpPr>
      <xdr:grpSpPr>
        <a:xfrm>
          <a:off x="91502" y="56474"/>
          <a:ext cx="1345725" cy="228852"/>
          <a:chOff x="1579307" y="76815"/>
          <a:chExt cx="1293202" cy="230444"/>
        </a:xfrm>
      </xdr:grpSpPr>
      <xdr:sp macro="[0]!New_Lop_Sheet" textlink="">
        <xdr:nvSpPr>
          <xdr:cNvPr id="22" name="Rechteck 21">
            <a:extLst>
              <a:ext uri="{FF2B5EF4-FFF2-40B4-BE49-F238E27FC236}">
                <a16:creationId xmlns:a16="http://schemas.microsoft.com/office/drawing/2014/main" id="{383D1C1B-704F-F4DD-9A44-BF4ACDECBFE9}"/>
              </a:ext>
            </a:extLst>
          </xdr:cNvPr>
          <xdr:cNvSpPr/>
        </xdr:nvSpPr>
        <xdr:spPr>
          <a:xfrm>
            <a:off x="1579307" y="76815"/>
            <a:ext cx="1293202" cy="230444"/>
          </a:xfrm>
          <a:prstGeom prst="rect">
            <a:avLst/>
          </a:prstGeom>
          <a:solidFill>
            <a:srgbClr val="C00000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chemeClr val="bg1"/>
                </a:solidFill>
              </a:rPr>
              <a:t>New</a:t>
            </a:r>
            <a:r>
              <a:rPr lang="de-DE" sz="1200" b="0" baseline="0">
                <a:solidFill>
                  <a:schemeClr val="bg1"/>
                </a:solidFill>
              </a:rPr>
              <a:t> LOP Sheet</a:t>
            </a:r>
            <a:endParaRPr lang="de-DE" sz="1200" b="0">
              <a:solidFill>
                <a:schemeClr val="bg1"/>
              </a:solidFill>
            </a:endParaRPr>
          </a:p>
        </xdr:txBody>
      </xdr:sp>
      <xdr:pic macro="[0]!New_Lop_Sheet">
        <xdr:nvPicPr>
          <xdr:cNvPr id="25" name="Grafik 24" descr="Anfangen Silhouette">
            <a:extLst>
              <a:ext uri="{FF2B5EF4-FFF2-40B4-BE49-F238E27FC236}">
                <a16:creationId xmlns:a16="http://schemas.microsoft.com/office/drawing/2014/main" id="{A6EBCD1B-1FA8-4EC6-3C42-B359C7C02B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1635730" y="91867"/>
            <a:ext cx="189608" cy="19773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899097</xdr:colOff>
      <xdr:row>0</xdr:row>
      <xdr:rowOff>0</xdr:rowOff>
    </xdr:from>
    <xdr:to>
      <xdr:col>3</xdr:col>
      <xdr:colOff>900152</xdr:colOff>
      <xdr:row>4</xdr:row>
      <xdr:rowOff>17590</xdr:rowOff>
    </xdr:to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E39E5C34-9F95-5C8A-695E-E6433457F341}"/>
            </a:ext>
          </a:extLst>
        </xdr:cNvPr>
        <xdr:cNvSpPr/>
      </xdr:nvSpPr>
      <xdr:spPr>
        <a:xfrm>
          <a:off x="3408058" y="0"/>
          <a:ext cx="5295" cy="1296000"/>
        </a:xfrm>
        <a:prstGeom prst="rect">
          <a:avLst/>
        </a:prstGeom>
        <a:gradFill>
          <a:gsLst>
            <a:gs pos="0">
              <a:schemeClr val="bg1"/>
            </a:gs>
            <a:gs pos="42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915701</xdr:colOff>
      <xdr:row>0</xdr:row>
      <xdr:rowOff>0</xdr:rowOff>
    </xdr:from>
    <xdr:to>
      <xdr:col>1</xdr:col>
      <xdr:colOff>916756</xdr:colOff>
      <xdr:row>4</xdr:row>
      <xdr:rowOff>17590</xdr:rowOff>
    </xdr:to>
    <xdr:sp macro="" textlink="">
      <xdr:nvSpPr>
        <xdr:cNvPr id="27" name="Rechteck 26">
          <a:extLst>
            <a:ext uri="{FF2B5EF4-FFF2-40B4-BE49-F238E27FC236}">
              <a16:creationId xmlns:a16="http://schemas.microsoft.com/office/drawing/2014/main" id="{5960FC6D-C9F3-49BD-7DB5-31B0A61841D0}"/>
            </a:ext>
          </a:extLst>
        </xdr:cNvPr>
        <xdr:cNvSpPr/>
      </xdr:nvSpPr>
      <xdr:spPr>
        <a:xfrm>
          <a:off x="1633736" y="0"/>
          <a:ext cx="5295" cy="1289495"/>
        </a:xfrm>
        <a:prstGeom prst="rect">
          <a:avLst/>
        </a:prstGeom>
        <a:gradFill>
          <a:gsLst>
            <a:gs pos="0">
              <a:schemeClr val="bg1"/>
            </a:gs>
            <a:gs pos="42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0</xdr:col>
      <xdr:colOff>20086</xdr:colOff>
      <xdr:row>2</xdr:row>
      <xdr:rowOff>303562</xdr:rowOff>
    </xdr:from>
    <xdr:to>
      <xdr:col>1</xdr:col>
      <xdr:colOff>915660</xdr:colOff>
      <xdr:row>3</xdr:row>
      <xdr:rowOff>37</xdr:rowOff>
    </xdr:to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0AD27EB5-D2C0-1C17-5405-5BCAEFD248A3}"/>
            </a:ext>
          </a:extLst>
        </xdr:cNvPr>
        <xdr:cNvSpPr/>
      </xdr:nvSpPr>
      <xdr:spPr>
        <a:xfrm rot="5400000">
          <a:off x="815628" y="125070"/>
          <a:ext cx="10398" cy="1623071"/>
        </a:xfrm>
        <a:prstGeom prst="rect">
          <a:avLst/>
        </a:prstGeom>
        <a:gradFill>
          <a:gsLst>
            <a:gs pos="0">
              <a:schemeClr val="bg1"/>
            </a:gs>
            <a:gs pos="99083">
              <a:schemeClr val="bg1"/>
            </a:gs>
            <a:gs pos="76147">
              <a:schemeClr val="accent2"/>
            </a:gs>
            <a:gs pos="23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201706</xdr:colOff>
      <xdr:row>1</xdr:row>
      <xdr:rowOff>145677</xdr:rowOff>
    </xdr:from>
    <xdr:to>
      <xdr:col>1</xdr:col>
      <xdr:colOff>439751</xdr:colOff>
      <xdr:row>2</xdr:row>
      <xdr:rowOff>203388</xdr:rowOff>
    </xdr:to>
    <xdr:pic>
      <xdr:nvPicPr>
        <xdr:cNvPr id="4" name="Grafik 3" descr="Logo KTX">
          <a:extLst>
            <a:ext uri="{FF2B5EF4-FFF2-40B4-BE49-F238E27FC236}">
              <a16:creationId xmlns:a16="http://schemas.microsoft.com/office/drawing/2014/main" id="{07DEA5D6-414F-4686-87D7-9CCCDC9C5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r:link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06" y="459442"/>
          <a:ext cx="955221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465828</xdr:colOff>
      <xdr:row>0</xdr:row>
      <xdr:rowOff>0</xdr:rowOff>
    </xdr:from>
    <xdr:to>
      <xdr:col>3</xdr:col>
      <xdr:colOff>291567</xdr:colOff>
      <xdr:row>3</xdr:row>
      <xdr:rowOff>1835</xdr:rowOff>
    </xdr:to>
    <xdr:grpSp>
      <xdr:nvGrpSpPr>
        <xdr:cNvPr id="2" name="Beschriftung">
          <a:extLst>
            <a:ext uri="{FF2B5EF4-FFF2-40B4-BE49-F238E27FC236}">
              <a16:creationId xmlns:a16="http://schemas.microsoft.com/office/drawing/2014/main" id="{60AEC5A3-504E-4BAA-B71B-09FC54B800E7}"/>
            </a:ext>
          </a:extLst>
        </xdr:cNvPr>
        <xdr:cNvGrpSpPr/>
      </xdr:nvGrpSpPr>
      <xdr:grpSpPr>
        <a:xfrm>
          <a:off x="2292387" y="0"/>
          <a:ext cx="5036474" cy="943129"/>
          <a:chOff x="4281279" y="143355"/>
          <a:chExt cx="5021380" cy="987222"/>
        </a:xfrm>
      </xdr:grpSpPr>
      <xdr:sp macro="" textlink="">
        <xdr:nvSpPr>
          <xdr:cNvPr id="3" name="Database_Assembly">
            <a:extLst>
              <a:ext uri="{FF2B5EF4-FFF2-40B4-BE49-F238E27FC236}">
                <a16:creationId xmlns:a16="http://schemas.microsoft.com/office/drawing/2014/main" id="{F1E043BE-C764-173B-EC3F-0B3CEB4FE443}"/>
              </a:ext>
            </a:extLst>
          </xdr:cNvPr>
          <xdr:cNvSpPr txBox="1"/>
        </xdr:nvSpPr>
        <xdr:spPr>
          <a:xfrm>
            <a:off x="4853608" y="256761"/>
            <a:ext cx="4449051" cy="4406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24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 AGENDA Projectmeeting</a:t>
            </a:r>
          </a:p>
        </xdr:txBody>
      </xdr:sp>
      <xdr:cxnSp macro="">
        <xdr:nvCxnSpPr>
          <xdr:cNvPr id="4" name="Linie Database_Assembly">
            <a:extLst>
              <a:ext uri="{FF2B5EF4-FFF2-40B4-BE49-F238E27FC236}">
                <a16:creationId xmlns:a16="http://schemas.microsoft.com/office/drawing/2014/main" id="{0BE9DD6C-D75B-C661-4001-FC434870CCE6}"/>
              </a:ext>
            </a:extLst>
          </xdr:cNvPr>
          <xdr:cNvCxnSpPr/>
        </xdr:nvCxnSpPr>
        <xdr:spPr>
          <a:xfrm>
            <a:off x="4281279" y="727215"/>
            <a:ext cx="4778223" cy="0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PORTING_Assembly">
            <a:extLst>
              <a:ext uri="{FF2B5EF4-FFF2-40B4-BE49-F238E27FC236}">
                <a16:creationId xmlns:a16="http://schemas.microsoft.com/office/drawing/2014/main" id="{A7A8FB53-492B-57E2-CE6E-5F4A8773D977}"/>
              </a:ext>
            </a:extLst>
          </xdr:cNvPr>
          <xdr:cNvSpPr txBox="1"/>
        </xdr:nvSpPr>
        <xdr:spPr>
          <a:xfrm>
            <a:off x="4853609" y="689114"/>
            <a:ext cx="4209432" cy="4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1400" b="0" i="0" u="none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EP-FO-012                    </a:t>
            </a:r>
            <a:r>
              <a:rPr lang="de-DE" sz="1400" b="1" i="0" u="sng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Project: G6x-1748</a:t>
            </a:r>
          </a:p>
        </xdr:txBody>
      </xdr:sp>
      <xdr:pic>
        <xdr:nvPicPr>
          <xdr:cNvPr id="6" name="Grafik 5" descr="Werbung Silhouette">
            <a:extLst>
              <a:ext uri="{FF2B5EF4-FFF2-40B4-BE49-F238E27FC236}">
                <a16:creationId xmlns:a16="http://schemas.microsoft.com/office/drawing/2014/main" id="{FB33487E-9388-8D6A-64CA-3BC08C439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81280" y="143355"/>
            <a:ext cx="540828" cy="54235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773206</xdr:colOff>
      <xdr:row>0</xdr:row>
      <xdr:rowOff>95836</xdr:rowOff>
    </xdr:from>
    <xdr:to>
      <xdr:col>4</xdr:col>
      <xdr:colOff>1236223</xdr:colOff>
      <xdr:row>1</xdr:row>
      <xdr:rowOff>18716</xdr:rowOff>
    </xdr:to>
    <xdr:grpSp>
      <xdr:nvGrpSpPr>
        <xdr:cNvPr id="7" name="back to LOP Shee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092F8F-CCC5-4341-AED2-C26228D4DEB1}"/>
            </a:ext>
          </a:extLst>
        </xdr:cNvPr>
        <xdr:cNvGrpSpPr/>
      </xdr:nvGrpSpPr>
      <xdr:grpSpPr>
        <a:xfrm>
          <a:off x="7810500" y="95836"/>
          <a:ext cx="1572399" cy="236645"/>
          <a:chOff x="1579306" y="76815"/>
          <a:chExt cx="1499420" cy="230444"/>
        </a:xfrm>
      </xdr:grpSpPr>
      <xdr:sp macro="" textlink="">
        <xdr:nvSpPr>
          <xdr:cNvPr id="8" name="Rechteck 7">
            <a:extLst>
              <a:ext uri="{FF2B5EF4-FFF2-40B4-BE49-F238E27FC236}">
                <a16:creationId xmlns:a16="http://schemas.microsoft.com/office/drawing/2014/main" id="{D20C5065-AD0D-4024-787F-9B53BFDEBDA8}"/>
              </a:ext>
            </a:extLst>
          </xdr:cNvPr>
          <xdr:cNvSpPr/>
        </xdr:nvSpPr>
        <xdr:spPr>
          <a:xfrm>
            <a:off x="1579306" y="76815"/>
            <a:ext cx="1499420" cy="230444"/>
          </a:xfrm>
          <a:prstGeom prst="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back To LOP-List</a:t>
            </a:r>
          </a:p>
        </xdr:txBody>
      </xdr:sp>
      <xdr:pic>
        <xdr:nvPicPr>
          <xdr:cNvPr id="9" name="Grafik 8" descr="Anfangen mit einfarbiger Füllung">
            <a:extLst>
              <a:ext uri="{FF2B5EF4-FFF2-40B4-BE49-F238E27FC236}">
                <a16:creationId xmlns:a16="http://schemas.microsoft.com/office/drawing/2014/main" id="{0CB9AFEB-589F-BD55-3178-B418B1ED7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636233" y="92529"/>
            <a:ext cx="188600" cy="196407"/>
          </a:xfrm>
          <a:prstGeom prst="rect">
            <a:avLst/>
          </a:prstGeom>
        </xdr:spPr>
      </xdr:pic>
    </xdr:grpSp>
    <xdr:clientData fPrintsWithSheet="0"/>
  </xdr:twoCellAnchor>
  <xdr:twoCellAnchor>
    <xdr:from>
      <xdr:col>6</xdr:col>
      <xdr:colOff>133813</xdr:colOff>
      <xdr:row>5</xdr:row>
      <xdr:rowOff>45867</xdr:rowOff>
    </xdr:from>
    <xdr:to>
      <xdr:col>6</xdr:col>
      <xdr:colOff>594354</xdr:colOff>
      <xdr:row>7</xdr:row>
      <xdr:rowOff>9525</xdr:rowOff>
    </xdr:to>
    <xdr:pic macro="[0]!CheckSelectionAndRunMacro_NEU">
      <xdr:nvPicPr>
        <xdr:cNvPr id="12" name="Grafik 11">
          <a:extLst>
            <a:ext uri="{FF2B5EF4-FFF2-40B4-BE49-F238E27FC236}">
              <a16:creationId xmlns:a16="http://schemas.microsoft.com/office/drawing/2014/main" id="{77FDCB3B-316E-A0B9-182C-582EA3AD039B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15888" y="1103142"/>
          <a:ext cx="460541" cy="420858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773206</xdr:colOff>
      <xdr:row>1</xdr:row>
      <xdr:rowOff>173941</xdr:rowOff>
    </xdr:from>
    <xdr:to>
      <xdr:col>4</xdr:col>
      <xdr:colOff>1236223</xdr:colOff>
      <xdr:row>2</xdr:row>
      <xdr:rowOff>96821</xdr:rowOff>
    </xdr:to>
    <xdr:sp macro="[0]!delete" textlink="">
      <xdr:nvSpPr>
        <xdr:cNvPr id="11" name="Rechteck 10">
          <a:extLst>
            <a:ext uri="{FF2B5EF4-FFF2-40B4-BE49-F238E27FC236}">
              <a16:creationId xmlns:a16="http://schemas.microsoft.com/office/drawing/2014/main" id="{D0645A86-DFB9-2841-C2A5-B05581653569}"/>
            </a:ext>
          </a:extLst>
        </xdr:cNvPr>
        <xdr:cNvSpPr/>
      </xdr:nvSpPr>
      <xdr:spPr>
        <a:xfrm>
          <a:off x="7829550" y="499696"/>
          <a:ext cx="1559960" cy="229585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36000" bIns="0" rtlCol="0" anchor="ctr" anchorCtr="0"/>
        <a:lstStyle/>
        <a:p>
          <a:pPr algn="r"/>
          <a:r>
            <a:rPr lang="de-DE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old agenda items</a:t>
          </a:r>
          <a:endParaRPr lang="de-DE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466725</xdr:colOff>
      <xdr:row>10</xdr:row>
      <xdr:rowOff>66675</xdr:rowOff>
    </xdr:from>
    <xdr:to>
      <xdr:col>0</xdr:col>
      <xdr:colOff>2000250</xdr:colOff>
      <xdr:row>11</xdr:row>
      <xdr:rowOff>133350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665B4B27-1480-5B0F-8DFC-E27BAE0C3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9476" b="78179"/>
        <a:stretch/>
      </xdr:blipFill>
      <xdr:spPr>
        <a:xfrm>
          <a:off x="466725" y="4381500"/>
          <a:ext cx="1533525" cy="314325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</xdr:row>
      <xdr:rowOff>190500</xdr:rowOff>
    </xdr:from>
    <xdr:to>
      <xdr:col>1</xdr:col>
      <xdr:colOff>95250</xdr:colOff>
      <xdr:row>1</xdr:row>
      <xdr:rowOff>218344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C87260CE-08D2-BD4C-3012-602F2FEFBF6E}"/>
            </a:ext>
          </a:extLst>
        </xdr:cNvPr>
        <xdr:cNvCxnSpPr>
          <a:stCxn id="10" idx="3"/>
        </xdr:cNvCxnSpPr>
      </xdr:nvCxnSpPr>
      <xdr:spPr>
        <a:xfrm flipV="1">
          <a:off x="2051540" y="190500"/>
          <a:ext cx="396385" cy="278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1301261</xdr:colOff>
      <xdr:row>4</xdr:row>
      <xdr:rowOff>237392</xdr:rowOff>
    </xdr:from>
    <xdr:to>
      <xdr:col>1</xdr:col>
      <xdr:colOff>4419600</xdr:colOff>
      <xdr:row>5</xdr:row>
      <xdr:rowOff>1239077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E3A35CAC-D482-153B-1F0A-AB4FAF87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53936" y="980342"/>
          <a:ext cx="3118339" cy="124933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313594</xdr:colOff>
      <xdr:row>1</xdr:row>
      <xdr:rowOff>79132</xdr:rowOff>
    </xdr:from>
    <xdr:to>
      <xdr:col>0</xdr:col>
      <xdr:colOff>2051540</xdr:colOff>
      <xdr:row>2</xdr:row>
      <xdr:rowOff>109905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C6523762-1C29-4DCD-B0EC-B6AD0CEC0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816" t="69737" r="7258" b="10931"/>
        <a:stretch/>
      </xdr:blipFill>
      <xdr:spPr>
        <a:xfrm>
          <a:off x="313594" y="79132"/>
          <a:ext cx="1737946" cy="279888"/>
        </a:xfrm>
        <a:prstGeom prst="rect">
          <a:avLst/>
        </a:prstGeom>
      </xdr:spPr>
    </xdr:pic>
    <xdr:clientData/>
  </xdr:twoCellAnchor>
  <xdr:twoCellAnchor editAs="oneCell">
    <xdr:from>
      <xdr:col>0</xdr:col>
      <xdr:colOff>312128</xdr:colOff>
      <xdr:row>3</xdr:row>
      <xdr:rowOff>83526</xdr:rowOff>
    </xdr:from>
    <xdr:to>
      <xdr:col>0</xdr:col>
      <xdr:colOff>2070589</xdr:colOff>
      <xdr:row>4</xdr:row>
      <xdr:rowOff>156796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F0B68464-5E32-4B4B-888A-2776F48B7E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044" t="47571" r="7524" b="30162"/>
        <a:stretch/>
      </xdr:blipFill>
      <xdr:spPr>
        <a:xfrm>
          <a:off x="312128" y="578826"/>
          <a:ext cx="1758461" cy="320920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3</xdr:row>
      <xdr:rowOff>219075</xdr:rowOff>
    </xdr:from>
    <xdr:to>
      <xdr:col>1</xdr:col>
      <xdr:colOff>114300</xdr:colOff>
      <xdr:row>3</xdr:row>
      <xdr:rowOff>238126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2670CA19-AF18-1AB8-0DE3-BAB40DF12561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5</xdr:row>
      <xdr:rowOff>1085850</xdr:rowOff>
    </xdr:from>
    <xdr:to>
      <xdr:col>1</xdr:col>
      <xdr:colOff>1485900</xdr:colOff>
      <xdr:row>5</xdr:row>
      <xdr:rowOff>1295400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CA9E2DBD-0E33-20C8-A687-35F88248FE4E}"/>
            </a:ext>
          </a:extLst>
        </xdr:cNvPr>
        <xdr:cNvCxnSpPr/>
      </xdr:nvCxnSpPr>
      <xdr:spPr>
        <a:xfrm flipV="1">
          <a:off x="2886075" y="2076450"/>
          <a:ext cx="952500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619125</xdr:colOff>
      <xdr:row>5</xdr:row>
      <xdr:rowOff>19050</xdr:rowOff>
    </xdr:from>
    <xdr:to>
      <xdr:col>2</xdr:col>
      <xdr:colOff>3308571</xdr:colOff>
      <xdr:row>5</xdr:row>
      <xdr:rowOff>1247775</xdr:rowOff>
    </xdr:to>
    <xdr:pic>
      <xdr:nvPicPr>
        <xdr:cNvPr id="21" name="Grafik 20">
          <a:extLst>
            <a:ext uri="{FF2B5EF4-FFF2-40B4-BE49-F238E27FC236}">
              <a16:creationId xmlns:a16="http://schemas.microsoft.com/office/drawing/2014/main" id="{BDC2B1AD-896F-35B9-5EBF-2045FF784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48600" y="1009650"/>
          <a:ext cx="2689446" cy="1228725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295275</xdr:colOff>
      <xdr:row>6</xdr:row>
      <xdr:rowOff>85724</xdr:rowOff>
    </xdr:from>
    <xdr:to>
      <xdr:col>0</xdr:col>
      <xdr:colOff>2076451</xdr:colOff>
      <xdr:row>7</xdr:row>
      <xdr:rowOff>171449</xdr:rowOff>
    </xdr:to>
    <xdr:pic>
      <xdr:nvPicPr>
        <xdr:cNvPr id="26" name="Grafik 25">
          <a:extLst>
            <a:ext uri="{FF2B5EF4-FFF2-40B4-BE49-F238E27FC236}">
              <a16:creationId xmlns:a16="http://schemas.microsoft.com/office/drawing/2014/main" id="{FB7C58E2-C580-45BF-B060-FB8A22E5BB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061" t="25788" r="6871" b="51067"/>
        <a:stretch/>
      </xdr:blipFill>
      <xdr:spPr>
        <a:xfrm>
          <a:off x="295275" y="2962274"/>
          <a:ext cx="1781176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1285875</xdr:colOff>
      <xdr:row>7</xdr:row>
      <xdr:rowOff>0</xdr:rowOff>
    </xdr:from>
    <xdr:to>
      <xdr:col>1</xdr:col>
      <xdr:colOff>2118302</xdr:colOff>
      <xdr:row>7</xdr:row>
      <xdr:rowOff>533400</xdr:rowOff>
    </xdr:to>
    <xdr:pic>
      <xdr:nvPicPr>
        <xdr:cNvPr id="27" name="Grafik 26">
          <a:extLst>
            <a:ext uri="{FF2B5EF4-FFF2-40B4-BE49-F238E27FC236}">
              <a16:creationId xmlns:a16="http://schemas.microsoft.com/office/drawing/2014/main" id="{F986BE31-ED5A-EFA1-5C49-9647C3699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8550" y="3124200"/>
          <a:ext cx="832427" cy="533400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6</xdr:row>
      <xdr:rowOff>238125</xdr:rowOff>
    </xdr:from>
    <xdr:to>
      <xdr:col>1</xdr:col>
      <xdr:colOff>114300</xdr:colOff>
      <xdr:row>7</xdr:row>
      <xdr:rowOff>9526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27F41EE0-C143-83BE-40B4-F6A6BC6D69A6}"/>
            </a:ext>
          </a:extLst>
        </xdr:cNvPr>
        <xdr:cNvCxnSpPr/>
      </xdr:nvCxnSpPr>
      <xdr:spPr>
        <a:xfrm flipV="1">
          <a:off x="2051540" y="31146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4267200</xdr:colOff>
      <xdr:row>5</xdr:row>
      <xdr:rowOff>476250</xdr:rowOff>
    </xdr:from>
    <xdr:to>
      <xdr:col>2</xdr:col>
      <xdr:colOff>619125</xdr:colOff>
      <xdr:row>5</xdr:row>
      <xdr:rowOff>633413</xdr:rowOff>
    </xdr:to>
    <xdr:cxnSp macro="">
      <xdr:nvCxnSpPr>
        <xdr:cNvPr id="31" name="Gerade Verbindung mit Pfeil 30">
          <a:extLst>
            <a:ext uri="{FF2B5EF4-FFF2-40B4-BE49-F238E27FC236}">
              <a16:creationId xmlns:a16="http://schemas.microsoft.com/office/drawing/2014/main" id="{3E04B7CD-4594-26AD-D9D3-730BE7E4C849}"/>
            </a:ext>
          </a:extLst>
        </xdr:cNvPr>
        <xdr:cNvCxnSpPr>
          <a:endCxn id="21" idx="1"/>
        </xdr:cNvCxnSpPr>
      </xdr:nvCxnSpPr>
      <xdr:spPr>
        <a:xfrm>
          <a:off x="6619875" y="1466850"/>
          <a:ext cx="1228725" cy="1571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257175</xdr:colOff>
      <xdr:row>8</xdr:row>
      <xdr:rowOff>66675</xdr:rowOff>
    </xdr:from>
    <xdr:to>
      <xdr:col>0</xdr:col>
      <xdr:colOff>2000250</xdr:colOff>
      <xdr:row>9</xdr:row>
      <xdr:rowOff>152400</xdr:rowOff>
    </xdr:to>
    <xdr:pic>
      <xdr:nvPicPr>
        <xdr:cNvPr id="33" name="Grafik 32">
          <a:extLst>
            <a:ext uri="{FF2B5EF4-FFF2-40B4-BE49-F238E27FC236}">
              <a16:creationId xmlns:a16="http://schemas.microsoft.com/office/drawing/2014/main" id="{99EE2AF0-7B00-4184-8056-7B8DB86364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312" t="-660" r="7626" b="77516"/>
        <a:stretch/>
      </xdr:blipFill>
      <xdr:spPr>
        <a:xfrm>
          <a:off x="257175" y="3790950"/>
          <a:ext cx="1743075" cy="333375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8</xdr:row>
      <xdr:rowOff>219075</xdr:rowOff>
    </xdr:from>
    <xdr:to>
      <xdr:col>1</xdr:col>
      <xdr:colOff>114300</xdr:colOff>
      <xdr:row>8</xdr:row>
      <xdr:rowOff>238126</xdr:rowOff>
    </xdr:to>
    <xdr:cxnSp macro="">
      <xdr:nvCxnSpPr>
        <xdr:cNvPr id="35" name="Gerade Verbindung mit Pfeil 34">
          <a:extLst>
            <a:ext uri="{FF2B5EF4-FFF2-40B4-BE49-F238E27FC236}">
              <a16:creationId xmlns:a16="http://schemas.microsoft.com/office/drawing/2014/main" id="{892EB4D3-986E-47D1-B070-FFB66CC64F6C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8</xdr:row>
      <xdr:rowOff>219075</xdr:rowOff>
    </xdr:from>
    <xdr:to>
      <xdr:col>1</xdr:col>
      <xdr:colOff>114300</xdr:colOff>
      <xdr:row>8</xdr:row>
      <xdr:rowOff>238126</xdr:rowOff>
    </xdr:to>
    <xdr:cxnSp macro="">
      <xdr:nvCxnSpPr>
        <xdr:cNvPr id="36" name="Gerade Verbindung mit Pfeil 35">
          <a:extLst>
            <a:ext uri="{FF2B5EF4-FFF2-40B4-BE49-F238E27FC236}">
              <a16:creationId xmlns:a16="http://schemas.microsoft.com/office/drawing/2014/main" id="{8F94C7D2-4605-477C-A0C3-86F025E7F332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10</xdr:row>
      <xdr:rowOff>219075</xdr:rowOff>
    </xdr:from>
    <xdr:to>
      <xdr:col>1</xdr:col>
      <xdr:colOff>114300</xdr:colOff>
      <xdr:row>10</xdr:row>
      <xdr:rowOff>238126</xdr:rowOff>
    </xdr:to>
    <xdr:cxnSp macro="">
      <xdr:nvCxnSpPr>
        <xdr:cNvPr id="37" name="Gerade Verbindung mit Pfeil 36">
          <a:extLst>
            <a:ext uri="{FF2B5EF4-FFF2-40B4-BE49-F238E27FC236}">
              <a16:creationId xmlns:a16="http://schemas.microsoft.com/office/drawing/2014/main" id="{BF8AB360-0343-4692-BEE4-7100A73638C8}"/>
            </a:ext>
          </a:extLst>
        </xdr:cNvPr>
        <xdr:cNvCxnSpPr/>
      </xdr:nvCxnSpPr>
      <xdr:spPr>
        <a:xfrm flipV="1">
          <a:off x="2051540" y="39433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10</xdr:row>
      <xdr:rowOff>219075</xdr:rowOff>
    </xdr:from>
    <xdr:to>
      <xdr:col>1</xdr:col>
      <xdr:colOff>114300</xdr:colOff>
      <xdr:row>10</xdr:row>
      <xdr:rowOff>238126</xdr:rowOff>
    </xdr:to>
    <xdr:cxnSp macro="">
      <xdr:nvCxnSpPr>
        <xdr:cNvPr id="38" name="Gerade Verbindung mit Pfeil 37">
          <a:extLst>
            <a:ext uri="{FF2B5EF4-FFF2-40B4-BE49-F238E27FC236}">
              <a16:creationId xmlns:a16="http://schemas.microsoft.com/office/drawing/2014/main" id="{59AC03F0-5E47-4710-9BFF-7720CCBC03AB}"/>
            </a:ext>
          </a:extLst>
        </xdr:cNvPr>
        <xdr:cNvCxnSpPr/>
      </xdr:nvCxnSpPr>
      <xdr:spPr>
        <a:xfrm flipV="1">
          <a:off x="2051540" y="39433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771525</xdr:colOff>
      <xdr:row>12</xdr:row>
      <xdr:rowOff>76200</xdr:rowOff>
    </xdr:from>
    <xdr:to>
      <xdr:col>0</xdr:col>
      <xdr:colOff>1990895</xdr:colOff>
      <xdr:row>12</xdr:row>
      <xdr:rowOff>1286044</xdr:rowOff>
    </xdr:to>
    <xdr:pic>
      <xdr:nvPicPr>
        <xdr:cNvPr id="39" name="Grafik 38">
          <a:extLst>
            <a:ext uri="{FF2B5EF4-FFF2-40B4-BE49-F238E27FC236}">
              <a16:creationId xmlns:a16="http://schemas.microsoft.com/office/drawing/2014/main" id="{EDCCCAA9-8022-E6F7-3124-D2335B5BE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1525" y="4886325"/>
          <a:ext cx="1219370" cy="1209844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12</xdr:row>
      <xdr:rowOff>638175</xdr:rowOff>
    </xdr:from>
    <xdr:to>
      <xdr:col>1</xdr:col>
      <xdr:colOff>114300</xdr:colOff>
      <xdr:row>12</xdr:row>
      <xdr:rowOff>657226</xdr:rowOff>
    </xdr:to>
    <xdr:cxnSp macro="">
      <xdr:nvCxnSpPr>
        <xdr:cNvPr id="40" name="Gerade Verbindung mit Pfeil 39">
          <a:extLst>
            <a:ext uri="{FF2B5EF4-FFF2-40B4-BE49-F238E27FC236}">
              <a16:creationId xmlns:a16="http://schemas.microsoft.com/office/drawing/2014/main" id="{536002F1-A733-B4F1-0CD7-66B03D187F34}"/>
            </a:ext>
          </a:extLst>
        </xdr:cNvPr>
        <xdr:cNvCxnSpPr/>
      </xdr:nvCxnSpPr>
      <xdr:spPr>
        <a:xfrm flipV="1">
          <a:off x="2051540" y="544830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333375</xdr:colOff>
      <xdr:row>14</xdr:row>
      <xdr:rowOff>57151</xdr:rowOff>
    </xdr:from>
    <xdr:to>
      <xdr:col>0</xdr:col>
      <xdr:colOff>2038588</xdr:colOff>
      <xdr:row>14</xdr:row>
      <xdr:rowOff>400051</xdr:rowOff>
    </xdr:to>
    <xdr:pic>
      <xdr:nvPicPr>
        <xdr:cNvPr id="43" name="Grafik 42">
          <a:extLst>
            <a:ext uri="{FF2B5EF4-FFF2-40B4-BE49-F238E27FC236}">
              <a16:creationId xmlns:a16="http://schemas.microsoft.com/office/drawing/2014/main" id="{047052A0-0A91-47A7-ECFC-D211459903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53253"/>
        <a:stretch/>
      </xdr:blipFill>
      <xdr:spPr>
        <a:xfrm>
          <a:off x="333375" y="6762751"/>
          <a:ext cx="1705213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15</xdr:row>
      <xdr:rowOff>85724</xdr:rowOff>
    </xdr:from>
    <xdr:to>
      <xdr:col>0</xdr:col>
      <xdr:colOff>2038588</xdr:colOff>
      <xdr:row>15</xdr:row>
      <xdr:rowOff>438251</xdr:rowOff>
    </xdr:to>
    <xdr:pic>
      <xdr:nvPicPr>
        <xdr:cNvPr id="44" name="Grafik 43">
          <a:extLst>
            <a:ext uri="{FF2B5EF4-FFF2-40B4-BE49-F238E27FC236}">
              <a16:creationId xmlns:a16="http://schemas.microsoft.com/office/drawing/2014/main" id="{492B3638-32C5-E41C-737B-B0994E28BF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51941"/>
        <a:stretch/>
      </xdr:blipFill>
      <xdr:spPr>
        <a:xfrm>
          <a:off x="333375" y="7267574"/>
          <a:ext cx="1705213" cy="352527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14</xdr:row>
      <xdr:rowOff>180975</xdr:rowOff>
    </xdr:from>
    <xdr:to>
      <xdr:col>1</xdr:col>
      <xdr:colOff>114300</xdr:colOff>
      <xdr:row>14</xdr:row>
      <xdr:rowOff>200026</xdr:rowOff>
    </xdr:to>
    <xdr:cxnSp macro="">
      <xdr:nvCxnSpPr>
        <xdr:cNvPr id="45" name="Gerade Verbindung mit Pfeil 44">
          <a:extLst>
            <a:ext uri="{FF2B5EF4-FFF2-40B4-BE49-F238E27FC236}">
              <a16:creationId xmlns:a16="http://schemas.microsoft.com/office/drawing/2014/main" id="{68152837-0BC0-7F20-300F-56F1069A53A1}"/>
            </a:ext>
          </a:extLst>
        </xdr:cNvPr>
        <xdr:cNvCxnSpPr/>
      </xdr:nvCxnSpPr>
      <xdr:spPr>
        <a:xfrm flipV="1">
          <a:off x="2051540" y="68865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1428750</xdr:colOff>
      <xdr:row>16</xdr:row>
      <xdr:rowOff>95250</xdr:rowOff>
    </xdr:from>
    <xdr:to>
      <xdr:col>0</xdr:col>
      <xdr:colOff>1971751</xdr:colOff>
      <xdr:row>16</xdr:row>
      <xdr:rowOff>619198</xdr:rowOff>
    </xdr:to>
    <xdr:pic>
      <xdr:nvPicPr>
        <xdr:cNvPr id="46" name="Grafik 45">
          <a:extLst>
            <a:ext uri="{FF2B5EF4-FFF2-40B4-BE49-F238E27FC236}">
              <a16:creationId xmlns:a16="http://schemas.microsoft.com/office/drawing/2014/main" id="{631787F6-BDD5-908C-27D1-6FDEF05E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28750" y="7829550"/>
          <a:ext cx="543001" cy="523948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15</xdr:row>
      <xdr:rowOff>180975</xdr:rowOff>
    </xdr:from>
    <xdr:to>
      <xdr:col>1</xdr:col>
      <xdr:colOff>114300</xdr:colOff>
      <xdr:row>15</xdr:row>
      <xdr:rowOff>200026</xdr:rowOff>
    </xdr:to>
    <xdr:cxnSp macro="">
      <xdr:nvCxnSpPr>
        <xdr:cNvPr id="47" name="Gerade Verbindung mit Pfeil 46">
          <a:extLst>
            <a:ext uri="{FF2B5EF4-FFF2-40B4-BE49-F238E27FC236}">
              <a16:creationId xmlns:a16="http://schemas.microsoft.com/office/drawing/2014/main" id="{03D219CE-D84E-4789-8EDA-A98924C6DA84}"/>
            </a:ext>
          </a:extLst>
        </xdr:cNvPr>
        <xdr:cNvCxnSpPr/>
      </xdr:nvCxnSpPr>
      <xdr:spPr>
        <a:xfrm flipV="1">
          <a:off x="2051540" y="68865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104775</xdr:colOff>
      <xdr:row>8</xdr:row>
      <xdr:rowOff>247116</xdr:rowOff>
    </xdr:from>
    <xdr:to>
      <xdr:col>2</xdr:col>
      <xdr:colOff>4494478</xdr:colOff>
      <xdr:row>9</xdr:row>
      <xdr:rowOff>371475</xdr:rowOff>
    </xdr:to>
    <xdr:pic>
      <xdr:nvPicPr>
        <xdr:cNvPr id="48" name="Grafik 47">
          <a:extLst>
            <a:ext uri="{FF2B5EF4-FFF2-40B4-BE49-F238E27FC236}">
              <a16:creationId xmlns:a16="http://schemas.microsoft.com/office/drawing/2014/main" id="{4025AE40-809D-1F31-B10B-B69DD2DF3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34250" y="4152366"/>
          <a:ext cx="4389703" cy="372009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16</xdr:row>
      <xdr:rowOff>180975</xdr:rowOff>
    </xdr:from>
    <xdr:to>
      <xdr:col>1</xdr:col>
      <xdr:colOff>114300</xdr:colOff>
      <xdr:row>16</xdr:row>
      <xdr:rowOff>200026</xdr:rowOff>
    </xdr:to>
    <xdr:cxnSp macro="">
      <xdr:nvCxnSpPr>
        <xdr:cNvPr id="49" name="Gerade Verbindung mit Pfeil 48">
          <a:extLst>
            <a:ext uri="{FF2B5EF4-FFF2-40B4-BE49-F238E27FC236}">
              <a16:creationId xmlns:a16="http://schemas.microsoft.com/office/drawing/2014/main" id="{96B84968-EC98-4A27-93A7-1A9F5C2C4C54}"/>
            </a:ext>
          </a:extLst>
        </xdr:cNvPr>
        <xdr:cNvCxnSpPr/>
      </xdr:nvCxnSpPr>
      <xdr:spPr>
        <a:xfrm flipV="1">
          <a:off x="2051540" y="74866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571500</xdr:colOff>
      <xdr:row>16</xdr:row>
      <xdr:rowOff>1019175</xdr:rowOff>
    </xdr:from>
    <xdr:to>
      <xdr:col>1</xdr:col>
      <xdr:colOff>3333750</xdr:colOff>
      <xdr:row>16</xdr:row>
      <xdr:rowOff>1334861</xdr:rowOff>
    </xdr:to>
    <xdr:pic>
      <xdr:nvPicPr>
        <xdr:cNvPr id="50" name="Grafik 49">
          <a:extLst>
            <a:ext uri="{FF2B5EF4-FFF2-40B4-BE49-F238E27FC236}">
              <a16:creationId xmlns:a16="http://schemas.microsoft.com/office/drawing/2014/main" id="{4BBDC779-2FE9-8831-ADC8-89AC2AD7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24175" y="8877300"/>
          <a:ext cx="2762250" cy="315686"/>
        </a:xfrm>
        <a:prstGeom prst="rect">
          <a:avLst/>
        </a:prstGeom>
      </xdr:spPr>
    </xdr:pic>
    <xdr:clientData/>
  </xdr:twoCellAnchor>
  <xdr:twoCellAnchor>
    <xdr:from>
      <xdr:col>1</xdr:col>
      <xdr:colOff>508490</xdr:colOff>
      <xdr:row>16</xdr:row>
      <xdr:rowOff>762001</xdr:rowOff>
    </xdr:from>
    <xdr:to>
      <xdr:col>1</xdr:col>
      <xdr:colOff>952500</xdr:colOff>
      <xdr:row>16</xdr:row>
      <xdr:rowOff>1091712</xdr:rowOff>
    </xdr:to>
    <xdr:cxnSp macro="">
      <xdr:nvCxnSpPr>
        <xdr:cNvPr id="51" name="Gerade Verbindung mit Pfeil 50">
          <a:extLst>
            <a:ext uri="{FF2B5EF4-FFF2-40B4-BE49-F238E27FC236}">
              <a16:creationId xmlns:a16="http://schemas.microsoft.com/office/drawing/2014/main" id="{AF4723CE-09B6-69B4-9652-C5CE9A561652}"/>
            </a:ext>
          </a:extLst>
        </xdr:cNvPr>
        <xdr:cNvCxnSpPr/>
      </xdr:nvCxnSpPr>
      <xdr:spPr>
        <a:xfrm>
          <a:off x="2860432" y="8638443"/>
          <a:ext cx="444010" cy="3297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1245577</xdr:colOff>
      <xdr:row>16</xdr:row>
      <xdr:rowOff>776654</xdr:rowOff>
    </xdr:from>
    <xdr:to>
      <xdr:col>1</xdr:col>
      <xdr:colOff>1414096</xdr:colOff>
      <xdr:row>16</xdr:row>
      <xdr:rowOff>1091712</xdr:rowOff>
    </xdr:to>
    <xdr:cxnSp macro="">
      <xdr:nvCxnSpPr>
        <xdr:cNvPr id="59" name="Gerade Verbindung mit Pfeil 58">
          <a:extLst>
            <a:ext uri="{FF2B5EF4-FFF2-40B4-BE49-F238E27FC236}">
              <a16:creationId xmlns:a16="http://schemas.microsoft.com/office/drawing/2014/main" id="{75550F49-F707-CD90-D95A-8732723896A0}"/>
            </a:ext>
          </a:extLst>
        </xdr:cNvPr>
        <xdr:cNvCxnSpPr/>
      </xdr:nvCxnSpPr>
      <xdr:spPr>
        <a:xfrm>
          <a:off x="3597519" y="8653096"/>
          <a:ext cx="168519" cy="3150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1912327</xdr:colOff>
      <xdr:row>16</xdr:row>
      <xdr:rowOff>776654</xdr:rowOff>
    </xdr:from>
    <xdr:to>
      <xdr:col>1</xdr:col>
      <xdr:colOff>2066193</xdr:colOff>
      <xdr:row>16</xdr:row>
      <xdr:rowOff>1091712</xdr:rowOff>
    </xdr:to>
    <xdr:cxnSp macro="">
      <xdr:nvCxnSpPr>
        <xdr:cNvPr id="62" name="Gerade Verbindung mit Pfeil 61">
          <a:extLst>
            <a:ext uri="{FF2B5EF4-FFF2-40B4-BE49-F238E27FC236}">
              <a16:creationId xmlns:a16="http://schemas.microsoft.com/office/drawing/2014/main" id="{628EA353-65D3-3257-0D11-0964D984ADE9}"/>
            </a:ext>
          </a:extLst>
        </xdr:cNvPr>
        <xdr:cNvCxnSpPr/>
      </xdr:nvCxnSpPr>
      <xdr:spPr>
        <a:xfrm flipH="1">
          <a:off x="4264269" y="8653096"/>
          <a:ext cx="153866" cy="3150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2601058</xdr:colOff>
      <xdr:row>16</xdr:row>
      <xdr:rowOff>762000</xdr:rowOff>
    </xdr:from>
    <xdr:to>
      <xdr:col>1</xdr:col>
      <xdr:colOff>2806212</xdr:colOff>
      <xdr:row>16</xdr:row>
      <xdr:rowOff>1091712</xdr:rowOff>
    </xdr:to>
    <xdr:cxnSp macro="">
      <xdr:nvCxnSpPr>
        <xdr:cNvPr id="64" name="Gerade Verbindung mit Pfeil 63">
          <a:extLst>
            <a:ext uri="{FF2B5EF4-FFF2-40B4-BE49-F238E27FC236}">
              <a16:creationId xmlns:a16="http://schemas.microsoft.com/office/drawing/2014/main" id="{D754C357-4074-5581-7B8D-011CEF78CBFD}"/>
            </a:ext>
          </a:extLst>
        </xdr:cNvPr>
        <xdr:cNvCxnSpPr/>
      </xdr:nvCxnSpPr>
      <xdr:spPr>
        <a:xfrm flipH="1">
          <a:off x="4953000" y="8638442"/>
          <a:ext cx="205154" cy="329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853E50-0E2C-40D0-A219-2DAF2F273D05}" name="Tabelle1" displayName="Tabelle1" ref="A7:L8" insertRow="1" totalsRowShown="0" headerRowDxfId="29" dataDxfId="28" tableBorderDxfId="27">
  <autoFilter ref="A7:L8" xr:uid="{73853E50-0E2C-40D0-A219-2DAF2F273D05}"/>
  <tableColumns count="12">
    <tableColumn id="1" xr3:uid="{E68FF675-D86F-4DD7-BBBE-AAC612E06323}" name="Pos. " dataDxfId="26" totalsRowDxfId="25"/>
    <tableColumn id="2" xr3:uid="{8C55106F-0A43-424B-BAAD-90E20F4C40F3}" name="Entry _x000a_Date" dataDxfId="24" totalsRowDxfId="23"/>
    <tableColumn id="3" xr3:uid="{EEB17BA3-FF52-4B9B-8806-8C54DF9424B4}" name="Process" dataDxfId="22" totalsRowDxfId="21"/>
    <tableColumn id="4" xr3:uid="{1720B427-6947-457C-B1A1-6DAA20342A19}" name="Task" dataDxfId="20" totalsRowDxfId="19"/>
    <tableColumn id="9" xr3:uid="{16AFB085-059E-43D3-A0B3-5C7DCDF32F21}" name="Description" dataDxfId="18" totalsRowDxfId="17"/>
    <tableColumn id="10" xr3:uid="{2715E815-B116-4677-AC0F-10F3F2BA1CA8}" name="internal / _x000a_extenal" dataDxfId="16"/>
    <tableColumn id="11" xr3:uid="{A988BB32-DCC6-4BFD-8410-70E8159207F6}" name="Responsible" dataDxfId="15"/>
    <tableColumn id="5" xr3:uid="{026EDB8B-E32D-448B-A95E-9D30B5B4CB48}" name="Due" dataDxfId="14" totalsRowDxfId="13"/>
    <tableColumn id="6" xr3:uid="{8268ACCB-4F08-43F2-85B1-BE370509B477}" name="Status" dataDxfId="12" totalsRowDxfId="11"/>
    <tableColumn id="7" xr3:uid="{8C4E2B6E-C558-4445-BEF3-841B2DC42A08}" name="Comments/Questions" dataDxfId="10" totalsRowDxfId="9"/>
    <tableColumn id="8" xr3:uid="{D0DD3AF3-E1DC-48C0-B1C1-808184EF404A}" name="cw" dataDxfId="8" totalsRowDxfId="7">
      <calculatedColumnFormula>IF(Tabelle1[[#This Row],[Due]]="","",WEEKNUM(RIGHT(TEXT(H8,"TT.MM.JJ"),10),2)-1)&amp;"/"&amp;RIGHT(TEXT(H8,"JJ"),2)</calculatedColumnFormula>
    </tableColumn>
    <tableColumn id="12" xr3:uid="{CC9B2EAA-398A-4BE1-AB71-A9E7A99FD8F1}" name="mark" dataDxfId="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EC7558-CE77-44D0-8E69-B855933061B0}" name="Tabelle3" displayName="Tabelle3" ref="A1:C20" totalsRowShown="0" headerRowDxfId="4" dataDxfId="3">
  <autoFilter ref="A1:C20" xr:uid="{98EC7558-CE77-44D0-8E69-B855933061B0}"/>
  <tableColumns count="3">
    <tableColumn id="1" xr3:uid="{91CD4F37-A6DE-4061-B22E-720C1345077A}" name="Name_x000a_First and Last Name" dataDxfId="2"/>
    <tableColumn id="3" xr3:uid="{32B8FF1C-AD50-44D7-9CCD-471BA76242B8}" name="Department" dataDxfId="1"/>
    <tableColumn id="2" xr3:uid="{AAD77943-C2BE-44FF-9205-C0ACCAE3C552}" name="Vacation_x000a_from - till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b_LOP_NEW"/>
  <dimension ref="A1:L8"/>
  <sheetViews>
    <sheetView tabSelected="1" topLeftCell="E1" zoomScale="85" zoomScaleNormal="85" workbookViewId="0">
      <selection activeCell="J16" sqref="J16"/>
    </sheetView>
  </sheetViews>
  <sheetFormatPr baseColWidth="10" defaultColWidth="9.28515625" defaultRowHeight="20.100000000000001" customHeight="1" x14ac:dyDescent="0.25"/>
  <cols>
    <col min="1" max="1" width="10.7109375" style="34" customWidth="1"/>
    <col min="2" max="2" width="14.42578125" style="51" customWidth="1"/>
    <col min="3" max="3" width="12.5703125" style="63" customWidth="1"/>
    <col min="4" max="4" width="22" style="47" customWidth="1"/>
    <col min="5" max="5" width="103.28515625" style="48" customWidth="1"/>
    <col min="6" max="6" width="13.28515625" style="33" customWidth="1"/>
    <col min="7" max="7" width="16.7109375" style="41" customWidth="1"/>
    <col min="8" max="8" width="13.42578125" style="49" customWidth="1"/>
    <col min="9" max="9" width="13.7109375" style="34" customWidth="1"/>
    <col min="10" max="10" width="41.140625" style="41" customWidth="1"/>
    <col min="11" max="11" width="25.7109375" style="33" customWidth="1"/>
    <col min="12" max="12" width="25.7109375" style="54" customWidth="1"/>
    <col min="13" max="17" width="9.28515625" style="46"/>
    <col min="18" max="18" width="12.42578125" style="46" customWidth="1"/>
    <col min="19" max="16384" width="9.28515625" style="46"/>
  </cols>
  <sheetData>
    <row r="1" spans="1:12" s="43" customFormat="1" ht="25.15" customHeight="1" thickBot="1" x14ac:dyDescent="0.3">
      <c r="B1" s="72"/>
      <c r="C1" s="72"/>
      <c r="D1" s="35"/>
      <c r="E1" s="35"/>
      <c r="F1" s="55"/>
      <c r="G1" s="62"/>
      <c r="H1" s="33"/>
      <c r="I1" s="36" t="s">
        <v>11</v>
      </c>
      <c r="J1" s="22">
        <f>'Calculation Sheet'!B3</f>
        <v>0</v>
      </c>
      <c r="K1" s="119" t="s">
        <v>55</v>
      </c>
      <c r="L1" s="120"/>
    </row>
    <row r="2" spans="1:12" s="43" customFormat="1" ht="25.15" customHeight="1" thickBot="1" x14ac:dyDescent="0.3">
      <c r="A2" s="124"/>
      <c r="B2" s="124"/>
      <c r="C2" s="124"/>
      <c r="D2" s="35"/>
      <c r="E2" s="35"/>
      <c r="F2" s="55"/>
      <c r="G2" s="62"/>
      <c r="H2" s="33"/>
      <c r="I2" s="37" t="s">
        <v>12</v>
      </c>
      <c r="J2" s="23">
        <f>'Calculation Sheet'!B4</f>
        <v>0</v>
      </c>
      <c r="K2" s="121"/>
      <c r="L2" s="122"/>
    </row>
    <row r="3" spans="1:12" s="43" customFormat="1" ht="25.15" customHeight="1" thickBot="1" x14ac:dyDescent="0.3">
      <c r="A3" s="124"/>
      <c r="B3" s="124"/>
      <c r="C3" s="124"/>
      <c r="D3" s="50">
        <f ca="1">TODAY()</f>
        <v>45979</v>
      </c>
      <c r="E3" s="35"/>
      <c r="F3" s="55"/>
      <c r="G3" s="62"/>
      <c r="H3" s="33"/>
      <c r="I3" s="73" t="s">
        <v>13</v>
      </c>
      <c r="J3" s="23">
        <f>'Calculation Sheet'!B5</f>
        <v>0</v>
      </c>
      <c r="K3" s="121"/>
      <c r="L3" s="122"/>
    </row>
    <row r="4" spans="1:12" s="43" customFormat="1" ht="25.15" customHeight="1" x14ac:dyDescent="0.25">
      <c r="A4" s="39"/>
      <c r="B4" s="118"/>
      <c r="C4" s="60"/>
      <c r="D4" s="40" t="str">
        <f ca="1">WEEKNUM(TODAY(),2)-1&amp;"/"&amp;RIGHT(TEXT(D3,"JJ"),2)</f>
        <v>46/25</v>
      </c>
      <c r="E4" s="44"/>
      <c r="F4" s="55"/>
      <c r="G4" s="62"/>
      <c r="H4" s="33"/>
      <c r="I4" s="38" t="s">
        <v>14</v>
      </c>
      <c r="J4" s="24">
        <f>'Calculation Sheet'!B6</f>
        <v>0</v>
      </c>
      <c r="K4" s="123"/>
      <c r="L4" s="122"/>
    </row>
    <row r="5" spans="1:12" s="43" customFormat="1" ht="6" customHeight="1" x14ac:dyDescent="0.25">
      <c r="A5" s="29"/>
      <c r="B5" s="1"/>
      <c r="C5" s="61"/>
      <c r="D5" s="2"/>
      <c r="E5" s="2"/>
      <c r="F5" s="1"/>
      <c r="G5" s="61"/>
      <c r="H5" s="3"/>
      <c r="I5" s="3"/>
      <c r="J5" s="42"/>
      <c r="K5" s="52"/>
      <c r="L5" s="59"/>
    </row>
    <row r="6" spans="1:12" s="43" customFormat="1" ht="3.75" customHeight="1" x14ac:dyDescent="0.25">
      <c r="A6" s="30"/>
      <c r="B6" s="31"/>
      <c r="C6" s="62"/>
      <c r="D6" s="32"/>
      <c r="E6" s="32"/>
      <c r="F6" s="31"/>
      <c r="G6" s="62"/>
      <c r="H6" s="33"/>
      <c r="I6" s="33"/>
      <c r="J6" s="33"/>
      <c r="K6" s="33"/>
      <c r="L6" s="58"/>
    </row>
    <row r="7" spans="1:12" s="45" customFormat="1" ht="35.450000000000003" customHeight="1" x14ac:dyDescent="0.25">
      <c r="A7" s="25" t="s">
        <v>1</v>
      </c>
      <c r="B7" s="26" t="s">
        <v>2</v>
      </c>
      <c r="C7" s="26" t="s">
        <v>3</v>
      </c>
      <c r="D7" s="28" t="s">
        <v>4</v>
      </c>
      <c r="E7" s="71" t="s">
        <v>5</v>
      </c>
      <c r="F7" s="26" t="s">
        <v>6</v>
      </c>
      <c r="G7" s="26" t="s">
        <v>7</v>
      </c>
      <c r="H7" s="27" t="s">
        <v>8</v>
      </c>
      <c r="I7" s="27" t="s">
        <v>9</v>
      </c>
      <c r="J7" s="27" t="s">
        <v>10</v>
      </c>
      <c r="K7" s="53" t="s">
        <v>0</v>
      </c>
      <c r="L7" s="27" t="s">
        <v>19</v>
      </c>
    </row>
    <row r="8" spans="1:12" s="57" customFormat="1" ht="15" x14ac:dyDescent="0.25">
      <c r="A8" s="101"/>
      <c r="B8" s="102"/>
      <c r="C8" s="115"/>
      <c r="D8" s="104"/>
      <c r="E8" s="105"/>
      <c r="F8" s="106"/>
      <c r="G8" s="116"/>
      <c r="H8" s="107"/>
      <c r="I8" s="108"/>
      <c r="J8" s="103"/>
      <c r="K8" s="56"/>
      <c r="L8" s="109"/>
    </row>
  </sheetData>
  <mergeCells count="2">
    <mergeCell ref="K1:L4"/>
    <mergeCell ref="A2:C3"/>
  </mergeCells>
  <phoneticPr fontId="4" type="noConversion"/>
  <conditionalFormatting sqref="A8:J1048576">
    <cfRule type="expression" dxfId="34" priority="27">
      <formula>$K8=$D$4</formula>
    </cfRule>
  </conditionalFormatting>
  <conditionalFormatting sqref="I8:I1048576">
    <cfRule type="cellIs" dxfId="33" priority="22" operator="equal">
      <formula>"On track"</formula>
    </cfRule>
    <cfRule type="cellIs" dxfId="32" priority="23" operator="equal">
      <formula>"Complete"</formula>
    </cfRule>
    <cfRule type="cellIs" dxfId="31" priority="25" operator="equal">
      <formula>"Overdue"</formula>
    </cfRule>
    <cfRule type="cellIs" dxfId="30" priority="26" operator="equal">
      <formula>"At risk"</formula>
    </cfRule>
  </conditionalFormatting>
  <dataValidations count="2">
    <dataValidation type="date" allowBlank="1" showInputMessage="1" showErrorMessage="1" sqref="N1" xr:uid="{6EE814F1-8711-46AB-9E58-6BC9AF4C330E}">
      <formula1>45292</formula1>
      <formula2>49309</formula2>
    </dataValidation>
    <dataValidation type="list" allowBlank="1" showInputMessage="1" showErrorMessage="1" sqref="F8:F1048576" xr:uid="{73E976FD-E759-4EB7-87CA-54DD2D233EFF}">
      <formula1>"internal, external"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3D0AAF-F294-4D38-9831-6A2564AE1D30}">
          <x14:formula1>
            <xm:f>'Calculation Sheet'!$A$3:$A$6</xm:f>
          </x14:formula1>
          <xm:sqref>I8:I1048576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8B29C-078D-48F9-B6CB-C6156B0B6550}">
  <sheetPr codeName="tb_Agenda">
    <pageSetUpPr fitToPage="1"/>
  </sheetPr>
  <dimension ref="A1:G95"/>
  <sheetViews>
    <sheetView showGridLines="0" zoomScale="85" zoomScaleNormal="85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9.7109375" style="65" customWidth="1"/>
    <col min="2" max="2" width="17.7109375" style="65" customWidth="1"/>
    <col min="3" max="3" width="78.140625" customWidth="1"/>
    <col min="4" max="4" width="16.7109375" style="110" customWidth="1"/>
    <col min="5" max="5" width="20.7109375" style="65" customWidth="1"/>
    <col min="6" max="6" width="10.7109375" style="87" customWidth="1"/>
    <col min="7" max="7" width="10.7109375" style="65" customWidth="1"/>
  </cols>
  <sheetData>
    <row r="1" spans="1:7" ht="25.15" customHeight="1" x14ac:dyDescent="0.25">
      <c r="A1" s="125"/>
      <c r="B1" s="125"/>
      <c r="C1" s="125"/>
      <c r="D1" s="65"/>
      <c r="F1"/>
      <c r="G1" s="55"/>
    </row>
    <row r="2" spans="1:7" ht="25.15" customHeight="1" x14ac:dyDescent="0.25">
      <c r="A2" s="125"/>
      <c r="B2" s="125"/>
      <c r="C2" s="125"/>
      <c r="D2" s="65"/>
      <c r="F2"/>
      <c r="G2" s="55"/>
    </row>
    <row r="3" spans="1:7" ht="25.15" customHeight="1" x14ac:dyDescent="0.25">
      <c r="A3" s="82">
        <f>LOP!A4</f>
        <v>0</v>
      </c>
      <c r="B3" s="82"/>
      <c r="C3" s="83">
        <f>LOP!B4</f>
        <v>0</v>
      </c>
      <c r="D3" s="65"/>
      <c r="F3"/>
      <c r="G3" s="55"/>
    </row>
    <row r="4" spans="1:7" ht="6" customHeight="1" x14ac:dyDescent="0.25">
      <c r="A4" s="29"/>
      <c r="B4" s="29"/>
      <c r="C4" s="1"/>
      <c r="D4" s="74"/>
      <c r="E4" s="3"/>
      <c r="F4" s="2"/>
      <c r="G4" s="1"/>
    </row>
    <row r="5" spans="1:7" ht="3" customHeight="1" x14ac:dyDescent="0.25">
      <c r="A5" s="84"/>
      <c r="B5" s="84"/>
      <c r="D5" s="65"/>
      <c r="F5"/>
      <c r="G5" s="55"/>
    </row>
    <row r="6" spans="1:7" ht="18" customHeight="1" x14ac:dyDescent="0.25">
      <c r="A6" s="85" t="s">
        <v>20</v>
      </c>
      <c r="B6" s="126" t="s">
        <v>49</v>
      </c>
      <c r="C6" s="126"/>
      <c r="D6" s="65"/>
      <c r="F6"/>
      <c r="G6" s="55"/>
    </row>
    <row r="7" spans="1:7" ht="18" customHeight="1" x14ac:dyDescent="0.25">
      <c r="A7" s="85" t="s">
        <v>21</v>
      </c>
      <c r="B7" s="127">
        <v>45709</v>
      </c>
      <c r="C7" s="127"/>
      <c r="D7" s="65" t="s">
        <v>27</v>
      </c>
      <c r="E7" s="78" t="s">
        <v>50</v>
      </c>
      <c r="F7"/>
      <c r="G7" s="55"/>
    </row>
    <row r="8" spans="1:7" ht="18" customHeight="1" x14ac:dyDescent="0.25">
      <c r="A8" s="86" t="s">
        <v>22</v>
      </c>
      <c r="B8" s="128" t="s">
        <v>52</v>
      </c>
      <c r="C8" s="128"/>
      <c r="D8" s="65" t="s">
        <v>28</v>
      </c>
      <c r="E8" s="112"/>
      <c r="F8"/>
      <c r="G8" s="55"/>
    </row>
    <row r="9" spans="1:7" ht="18" customHeight="1" x14ac:dyDescent="0.25">
      <c r="A9" s="85" t="s">
        <v>23</v>
      </c>
      <c r="B9" s="129" t="s">
        <v>29</v>
      </c>
      <c r="C9" s="129"/>
      <c r="D9" s="65"/>
      <c r="F9" s="79">
        <v>0.39583333333333331</v>
      </c>
      <c r="G9" s="80">
        <v>0.5</v>
      </c>
    </row>
    <row r="10" spans="1:7" ht="3" customHeight="1" x14ac:dyDescent="0.25">
      <c r="A10" s="84"/>
      <c r="B10" s="84"/>
      <c r="D10" s="65"/>
      <c r="F10"/>
      <c r="G10" s="55"/>
    </row>
    <row r="11" spans="1:7" s="81" customFormat="1" ht="30" customHeight="1" x14ac:dyDescent="0.25">
      <c r="A11" s="75" t="s">
        <v>1</v>
      </c>
      <c r="B11" s="76" t="s">
        <v>3</v>
      </c>
      <c r="C11" s="77" t="s">
        <v>5</v>
      </c>
      <c r="D11" s="76" t="s">
        <v>7</v>
      </c>
      <c r="E11" s="76" t="s">
        <v>24</v>
      </c>
      <c r="F11" s="76" t="s">
        <v>25</v>
      </c>
      <c r="G11" s="75" t="s">
        <v>26</v>
      </c>
    </row>
    <row r="12" spans="1:7" ht="66" customHeight="1" x14ac:dyDescent="0.25">
      <c r="A12" s="65">
        <v>1</v>
      </c>
      <c r="B12" s="65" t="s">
        <v>51</v>
      </c>
      <c r="C12" s="117" t="s">
        <v>53</v>
      </c>
      <c r="D12" s="110" t="s">
        <v>48</v>
      </c>
      <c r="E12" s="110" t="s">
        <v>54</v>
      </c>
      <c r="F12" s="87">
        <f>IF(A12="","",IF(NOT(ISNUMBER(F11)),$F$9,F11+G11/1440))</f>
        <v>0.39583333333333331</v>
      </c>
      <c r="G12" s="65">
        <v>1</v>
      </c>
    </row>
    <row r="13" spans="1:7" ht="96.75" customHeight="1" x14ac:dyDescent="0.25">
      <c r="C13" s="111"/>
      <c r="F13" s="87" t="str">
        <f t="shared" ref="F13:F71" si="0">IF(A13="","",IF(NOT(ISNUMBER(F12)),$F$9,F12+G12/1440))</f>
        <v/>
      </c>
    </row>
    <row r="14" spans="1:7" ht="64.5" customHeight="1" x14ac:dyDescent="0.25">
      <c r="C14" s="111"/>
      <c r="F14" s="87" t="str">
        <f t="shared" si="0"/>
        <v/>
      </c>
    </row>
    <row r="15" spans="1:7" ht="110.25" customHeight="1" x14ac:dyDescent="0.25">
      <c r="C15" s="111"/>
      <c r="F15" s="87" t="str">
        <f t="shared" ref="F15" si="1">IF(A15="","",IF(NOT(ISNUMBER(F14)),$F$9,F14+G14/1440))</f>
        <v/>
      </c>
    </row>
    <row r="16" spans="1:7" ht="83.25" customHeight="1" x14ac:dyDescent="0.25">
      <c r="C16" s="111"/>
      <c r="F16" s="87" t="str">
        <f>IF(A16="","",IF(NOT(ISNUMBER(F15)),$F$9,F15+G15/1440))</f>
        <v/>
      </c>
    </row>
    <row r="17" spans="3:6" ht="42" customHeight="1" x14ac:dyDescent="0.25">
      <c r="C17" s="111"/>
      <c r="F17" s="87" t="str">
        <f t="shared" si="0"/>
        <v/>
      </c>
    </row>
    <row r="18" spans="3:6" ht="225.75" customHeight="1" x14ac:dyDescent="0.25">
      <c r="C18" s="111"/>
      <c r="F18" s="87" t="str">
        <f t="shared" si="0"/>
        <v/>
      </c>
    </row>
    <row r="19" spans="3:6" ht="66" customHeight="1" x14ac:dyDescent="0.25">
      <c r="C19" s="111"/>
      <c r="F19" s="87" t="str">
        <f t="shared" si="0"/>
        <v/>
      </c>
    </row>
    <row r="20" spans="3:6" ht="96" customHeight="1" x14ac:dyDescent="0.25">
      <c r="C20" s="114"/>
      <c r="F20" s="87" t="str">
        <f t="shared" si="0"/>
        <v/>
      </c>
    </row>
    <row r="21" spans="3:6" ht="34.5" customHeight="1" x14ac:dyDescent="0.25">
      <c r="C21" s="111"/>
      <c r="F21" s="87" t="str">
        <f>IF(A21="","",IF(NOT(ISNUMBER(#REF!)),$F$9,#REF!+#REF!/1440))</f>
        <v/>
      </c>
    </row>
    <row r="22" spans="3:6" x14ac:dyDescent="0.25">
      <c r="C22" s="90"/>
      <c r="F22" s="87" t="str">
        <f t="shared" si="0"/>
        <v/>
      </c>
    </row>
    <row r="23" spans="3:6" x14ac:dyDescent="0.25">
      <c r="F23" s="87" t="str">
        <f t="shared" si="0"/>
        <v/>
      </c>
    </row>
    <row r="24" spans="3:6" x14ac:dyDescent="0.25">
      <c r="F24" s="87" t="str">
        <f t="shared" si="0"/>
        <v/>
      </c>
    </row>
    <row r="25" spans="3:6" x14ac:dyDescent="0.25">
      <c r="F25" s="87" t="str">
        <f t="shared" si="0"/>
        <v/>
      </c>
    </row>
    <row r="26" spans="3:6" x14ac:dyDescent="0.25">
      <c r="F26" s="87" t="str">
        <f t="shared" si="0"/>
        <v/>
      </c>
    </row>
    <row r="27" spans="3:6" x14ac:dyDescent="0.25">
      <c r="F27" s="87" t="str">
        <f t="shared" si="0"/>
        <v/>
      </c>
    </row>
    <row r="28" spans="3:6" x14ac:dyDescent="0.25">
      <c r="F28" s="87" t="str">
        <f t="shared" si="0"/>
        <v/>
      </c>
    </row>
    <row r="29" spans="3:6" x14ac:dyDescent="0.25">
      <c r="F29" s="87" t="str">
        <f t="shared" si="0"/>
        <v/>
      </c>
    </row>
    <row r="30" spans="3:6" x14ac:dyDescent="0.25">
      <c r="F30" s="87" t="str">
        <f t="shared" si="0"/>
        <v/>
      </c>
    </row>
    <row r="31" spans="3:6" x14ac:dyDescent="0.25">
      <c r="F31" s="87" t="str">
        <f t="shared" si="0"/>
        <v/>
      </c>
    </row>
    <row r="32" spans="3:6" x14ac:dyDescent="0.25">
      <c r="F32" s="87" t="str">
        <f t="shared" si="0"/>
        <v/>
      </c>
    </row>
    <row r="33" spans="6:6" x14ac:dyDescent="0.25">
      <c r="F33" s="87" t="str">
        <f t="shared" si="0"/>
        <v/>
      </c>
    </row>
    <row r="34" spans="6:6" x14ac:dyDescent="0.25">
      <c r="F34" s="87" t="str">
        <f t="shared" si="0"/>
        <v/>
      </c>
    </row>
    <row r="35" spans="6:6" x14ac:dyDescent="0.25">
      <c r="F35" s="87" t="str">
        <f t="shared" si="0"/>
        <v/>
      </c>
    </row>
    <row r="36" spans="6:6" x14ac:dyDescent="0.25">
      <c r="F36" s="87" t="str">
        <f t="shared" si="0"/>
        <v/>
      </c>
    </row>
    <row r="37" spans="6:6" x14ac:dyDescent="0.25">
      <c r="F37" s="87" t="str">
        <f t="shared" si="0"/>
        <v/>
      </c>
    </row>
    <row r="38" spans="6:6" x14ac:dyDescent="0.25">
      <c r="F38" s="87" t="str">
        <f t="shared" si="0"/>
        <v/>
      </c>
    </row>
    <row r="39" spans="6:6" x14ac:dyDescent="0.25">
      <c r="F39" s="87" t="str">
        <f t="shared" si="0"/>
        <v/>
      </c>
    </row>
    <row r="40" spans="6:6" x14ac:dyDescent="0.25">
      <c r="F40" s="87" t="str">
        <f t="shared" si="0"/>
        <v/>
      </c>
    </row>
    <row r="41" spans="6:6" x14ac:dyDescent="0.25">
      <c r="F41" s="87" t="str">
        <f t="shared" si="0"/>
        <v/>
      </c>
    </row>
    <row r="42" spans="6:6" x14ac:dyDescent="0.25">
      <c r="F42" s="87" t="str">
        <f t="shared" si="0"/>
        <v/>
      </c>
    </row>
    <row r="43" spans="6:6" x14ac:dyDescent="0.25">
      <c r="F43" s="87" t="str">
        <f t="shared" si="0"/>
        <v/>
      </c>
    </row>
    <row r="44" spans="6:6" x14ac:dyDescent="0.25">
      <c r="F44" s="87" t="str">
        <f t="shared" si="0"/>
        <v/>
      </c>
    </row>
    <row r="45" spans="6:6" x14ac:dyDescent="0.25">
      <c r="F45" s="87" t="str">
        <f t="shared" si="0"/>
        <v/>
      </c>
    </row>
    <row r="46" spans="6:6" x14ac:dyDescent="0.25">
      <c r="F46" s="87" t="str">
        <f t="shared" si="0"/>
        <v/>
      </c>
    </row>
    <row r="47" spans="6:6" x14ac:dyDescent="0.25">
      <c r="F47" s="87" t="str">
        <f t="shared" si="0"/>
        <v/>
      </c>
    </row>
    <row r="48" spans="6:6" x14ac:dyDescent="0.25">
      <c r="F48" s="87" t="str">
        <f t="shared" si="0"/>
        <v/>
      </c>
    </row>
    <row r="49" spans="6:6" x14ac:dyDescent="0.25">
      <c r="F49" s="87" t="str">
        <f t="shared" si="0"/>
        <v/>
      </c>
    </row>
    <row r="50" spans="6:6" x14ac:dyDescent="0.25">
      <c r="F50" s="87" t="str">
        <f t="shared" si="0"/>
        <v/>
      </c>
    </row>
    <row r="51" spans="6:6" x14ac:dyDescent="0.25">
      <c r="F51" s="87" t="str">
        <f t="shared" si="0"/>
        <v/>
      </c>
    </row>
    <row r="52" spans="6:6" x14ac:dyDescent="0.25">
      <c r="F52" s="87" t="str">
        <f t="shared" si="0"/>
        <v/>
      </c>
    </row>
    <row r="53" spans="6:6" x14ac:dyDescent="0.25">
      <c r="F53" s="87" t="str">
        <f t="shared" si="0"/>
        <v/>
      </c>
    </row>
    <row r="54" spans="6:6" x14ac:dyDescent="0.25">
      <c r="F54" s="87" t="str">
        <f t="shared" si="0"/>
        <v/>
      </c>
    </row>
    <row r="55" spans="6:6" x14ac:dyDescent="0.25">
      <c r="F55" s="87" t="str">
        <f t="shared" si="0"/>
        <v/>
      </c>
    </row>
    <row r="56" spans="6:6" x14ac:dyDescent="0.25">
      <c r="F56" s="87" t="str">
        <f t="shared" si="0"/>
        <v/>
      </c>
    </row>
    <row r="57" spans="6:6" x14ac:dyDescent="0.25">
      <c r="F57" s="87" t="str">
        <f t="shared" si="0"/>
        <v/>
      </c>
    </row>
    <row r="58" spans="6:6" x14ac:dyDescent="0.25">
      <c r="F58" s="87" t="str">
        <f t="shared" si="0"/>
        <v/>
      </c>
    </row>
    <row r="59" spans="6:6" x14ac:dyDescent="0.25">
      <c r="F59" s="87" t="str">
        <f t="shared" si="0"/>
        <v/>
      </c>
    </row>
    <row r="60" spans="6:6" x14ac:dyDescent="0.25">
      <c r="F60" s="87" t="str">
        <f t="shared" si="0"/>
        <v/>
      </c>
    </row>
    <row r="61" spans="6:6" x14ac:dyDescent="0.25">
      <c r="F61" s="87" t="str">
        <f t="shared" si="0"/>
        <v/>
      </c>
    </row>
    <row r="62" spans="6:6" x14ac:dyDescent="0.25">
      <c r="F62" s="87" t="str">
        <f t="shared" si="0"/>
        <v/>
      </c>
    </row>
    <row r="63" spans="6:6" x14ac:dyDescent="0.25">
      <c r="F63" s="87" t="str">
        <f t="shared" si="0"/>
        <v/>
      </c>
    </row>
    <row r="64" spans="6:6" x14ac:dyDescent="0.25">
      <c r="F64" s="87" t="str">
        <f t="shared" si="0"/>
        <v/>
      </c>
    </row>
    <row r="65" spans="6:6" x14ac:dyDescent="0.25">
      <c r="F65" s="87" t="str">
        <f t="shared" si="0"/>
        <v/>
      </c>
    </row>
    <row r="66" spans="6:6" x14ac:dyDescent="0.25">
      <c r="F66" s="87" t="str">
        <f t="shared" si="0"/>
        <v/>
      </c>
    </row>
    <row r="67" spans="6:6" x14ac:dyDescent="0.25">
      <c r="F67" s="87" t="str">
        <f t="shared" si="0"/>
        <v/>
      </c>
    </row>
    <row r="68" spans="6:6" x14ac:dyDescent="0.25">
      <c r="F68" s="87" t="str">
        <f t="shared" si="0"/>
        <v/>
      </c>
    </row>
    <row r="69" spans="6:6" x14ac:dyDescent="0.25">
      <c r="F69" s="87" t="str">
        <f t="shared" si="0"/>
        <v/>
      </c>
    </row>
    <row r="70" spans="6:6" x14ac:dyDescent="0.25">
      <c r="F70" s="87" t="str">
        <f t="shared" si="0"/>
        <v/>
      </c>
    </row>
    <row r="71" spans="6:6" x14ac:dyDescent="0.25">
      <c r="F71" s="87" t="str">
        <f t="shared" si="0"/>
        <v/>
      </c>
    </row>
    <row r="72" spans="6:6" x14ac:dyDescent="0.25">
      <c r="F72" s="87" t="str">
        <f t="shared" ref="F72:F95" si="2">IF(A72="","",IF(NOT(ISNUMBER(F71)),$F$9,F71+G71/1440))</f>
        <v/>
      </c>
    </row>
    <row r="73" spans="6:6" x14ac:dyDescent="0.25">
      <c r="F73" s="87" t="str">
        <f t="shared" si="2"/>
        <v/>
      </c>
    </row>
    <row r="74" spans="6:6" x14ac:dyDescent="0.25">
      <c r="F74" s="87" t="str">
        <f t="shared" si="2"/>
        <v/>
      </c>
    </row>
    <row r="75" spans="6:6" x14ac:dyDescent="0.25">
      <c r="F75" s="87" t="str">
        <f t="shared" si="2"/>
        <v/>
      </c>
    </row>
    <row r="76" spans="6:6" x14ac:dyDescent="0.25">
      <c r="F76" s="87" t="str">
        <f t="shared" si="2"/>
        <v/>
      </c>
    </row>
    <row r="77" spans="6:6" x14ac:dyDescent="0.25">
      <c r="F77" s="87" t="str">
        <f t="shared" si="2"/>
        <v/>
      </c>
    </row>
    <row r="78" spans="6:6" x14ac:dyDescent="0.25">
      <c r="F78" s="87" t="str">
        <f t="shared" si="2"/>
        <v/>
      </c>
    </row>
    <row r="79" spans="6:6" x14ac:dyDescent="0.25">
      <c r="F79" s="87" t="str">
        <f t="shared" si="2"/>
        <v/>
      </c>
    </row>
    <row r="80" spans="6:6" x14ac:dyDescent="0.25">
      <c r="F80" s="87" t="str">
        <f t="shared" si="2"/>
        <v/>
      </c>
    </row>
    <row r="81" spans="6:6" x14ac:dyDescent="0.25">
      <c r="F81" s="87" t="str">
        <f t="shared" si="2"/>
        <v/>
      </c>
    </row>
    <row r="82" spans="6:6" x14ac:dyDescent="0.25">
      <c r="F82" s="87" t="str">
        <f t="shared" si="2"/>
        <v/>
      </c>
    </row>
    <row r="83" spans="6:6" x14ac:dyDescent="0.25">
      <c r="F83" s="87" t="str">
        <f t="shared" si="2"/>
        <v/>
      </c>
    </row>
    <row r="84" spans="6:6" x14ac:dyDescent="0.25">
      <c r="F84" s="87" t="str">
        <f t="shared" si="2"/>
        <v/>
      </c>
    </row>
    <row r="85" spans="6:6" x14ac:dyDescent="0.25">
      <c r="F85" s="87" t="str">
        <f t="shared" si="2"/>
        <v/>
      </c>
    </row>
    <row r="86" spans="6:6" x14ac:dyDescent="0.25">
      <c r="F86" s="87" t="str">
        <f t="shared" si="2"/>
        <v/>
      </c>
    </row>
    <row r="87" spans="6:6" x14ac:dyDescent="0.25">
      <c r="F87" s="87" t="str">
        <f t="shared" si="2"/>
        <v/>
      </c>
    </row>
    <row r="88" spans="6:6" x14ac:dyDescent="0.25">
      <c r="F88" s="87" t="str">
        <f t="shared" si="2"/>
        <v/>
      </c>
    </row>
    <row r="89" spans="6:6" x14ac:dyDescent="0.25">
      <c r="F89" s="87" t="str">
        <f t="shared" si="2"/>
        <v/>
      </c>
    </row>
    <row r="90" spans="6:6" x14ac:dyDescent="0.25">
      <c r="F90" s="87" t="str">
        <f t="shared" si="2"/>
        <v/>
      </c>
    </row>
    <row r="91" spans="6:6" x14ac:dyDescent="0.25">
      <c r="F91" s="87" t="str">
        <f t="shared" si="2"/>
        <v/>
      </c>
    </row>
    <row r="92" spans="6:6" x14ac:dyDescent="0.25">
      <c r="F92" s="87" t="str">
        <f t="shared" si="2"/>
        <v/>
      </c>
    </row>
    <row r="93" spans="6:6" x14ac:dyDescent="0.25">
      <c r="F93" s="87" t="str">
        <f t="shared" si="2"/>
        <v/>
      </c>
    </row>
    <row r="94" spans="6:6" x14ac:dyDescent="0.25">
      <c r="F94" s="87" t="str">
        <f t="shared" si="2"/>
        <v/>
      </c>
    </row>
    <row r="95" spans="6:6" x14ac:dyDescent="0.25">
      <c r="F95" s="87" t="str">
        <f t="shared" si="2"/>
        <v/>
      </c>
    </row>
  </sheetData>
  <mergeCells count="5">
    <mergeCell ref="A1:C2"/>
    <mergeCell ref="B6:C6"/>
    <mergeCell ref="B7:C7"/>
    <mergeCell ref="B8:C8"/>
    <mergeCell ref="B9:C9"/>
  </mergeCells>
  <conditionalFormatting sqref="A12:G19 A20:B20 D20:G20 A21:G1048576">
    <cfRule type="expression" dxfId="5" priority="3">
      <formula>$A12&gt;0</formula>
    </cfRule>
  </conditionalFormatting>
  <pageMargins left="0.51181102362204722" right="0" top="0.59055118110236227" bottom="0.59055118110236227" header="0.31496062992125984" footer="0.31496062992125984"/>
  <pageSetup paperSize="9" scale="3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2A64-204D-4B99-992D-B90FDEC41C1D}">
  <sheetPr codeName="tb_Calculation"/>
  <dimension ref="A1:E11"/>
  <sheetViews>
    <sheetView workbookViewId="0">
      <selection activeCell="C16" sqref="C16"/>
    </sheetView>
  </sheetViews>
  <sheetFormatPr baseColWidth="10" defaultColWidth="11.5703125" defaultRowHeight="15.75" x14ac:dyDescent="0.25"/>
  <cols>
    <col min="1" max="1" width="16" style="5" customWidth="1"/>
    <col min="2" max="3" width="11.5703125" style="5"/>
    <col min="4" max="4" width="16" style="5" customWidth="1"/>
    <col min="5" max="8" width="11.5703125" style="5"/>
    <col min="9" max="9" width="37.28515625" style="5" customWidth="1"/>
    <col min="10" max="16384" width="11.5703125" style="5"/>
  </cols>
  <sheetData>
    <row r="1" spans="1:5" s="4" customFormat="1" ht="34.5" customHeight="1" x14ac:dyDescent="0.25">
      <c r="A1" s="130" t="s">
        <v>18</v>
      </c>
      <c r="B1" s="130"/>
      <c r="D1" s="130"/>
      <c r="E1" s="130"/>
    </row>
    <row r="3" spans="1:5" x14ac:dyDescent="0.25">
      <c r="A3" s="5" t="s">
        <v>11</v>
      </c>
      <c r="B3" s="5">
        <f>COUNTIF(LOP!$I$8:$I$1048576,A3)</f>
        <v>0</v>
      </c>
    </row>
    <row r="4" spans="1:5" x14ac:dyDescent="0.25">
      <c r="A4" s="5" t="s">
        <v>12</v>
      </c>
      <c r="B4" s="5">
        <f>COUNTIF(LOP!$I$8:$I$1048576,A4)</f>
        <v>0</v>
      </c>
    </row>
    <row r="5" spans="1:5" x14ac:dyDescent="0.25">
      <c r="A5" s="5" t="s">
        <v>13</v>
      </c>
      <c r="B5" s="5">
        <f>COUNTIF(LOP!$I$8:$I$1048576,A5)</f>
        <v>0</v>
      </c>
    </row>
    <row r="6" spans="1:5" x14ac:dyDescent="0.25">
      <c r="A6" s="5" t="s">
        <v>14</v>
      </c>
      <c r="B6" s="5">
        <f>COUNTIF(LOP!$I$8:$I$1048576,A6)</f>
        <v>0</v>
      </c>
    </row>
    <row r="11" spans="1:5" ht="94.5" x14ac:dyDescent="0.25">
      <c r="A11" s="100" t="s">
        <v>47</v>
      </c>
    </row>
  </sheetData>
  <mergeCells count="2">
    <mergeCell ref="D1:E1"/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0194-7031-4956-9662-644A65D26BBD}">
  <sheetPr codeName="tb_Change"/>
  <dimension ref="A1:C38"/>
  <sheetViews>
    <sheetView workbookViewId="0">
      <selection activeCell="F10" sqref="F10"/>
    </sheetView>
  </sheetViews>
  <sheetFormatPr baseColWidth="10" defaultColWidth="11.5703125" defaultRowHeight="15.75" x14ac:dyDescent="0.25"/>
  <cols>
    <col min="1" max="1" width="14.7109375" style="21" customWidth="1"/>
    <col min="2" max="2" width="65" style="5" customWidth="1"/>
    <col min="3" max="3" width="23.140625" style="5" customWidth="1"/>
    <col min="4" max="16384" width="11.5703125" style="5"/>
  </cols>
  <sheetData>
    <row r="1" spans="1:3" s="8" customFormat="1" ht="54" customHeight="1" x14ac:dyDescent="0.25">
      <c r="A1" s="6" t="s">
        <v>15</v>
      </c>
      <c r="B1" s="7"/>
      <c r="C1" s="113"/>
    </row>
    <row r="2" spans="1:3" s="11" customFormat="1" x14ac:dyDescent="0.25">
      <c r="A2" s="9" t="s">
        <v>16</v>
      </c>
      <c r="B2" s="10" t="s">
        <v>5</v>
      </c>
      <c r="C2" s="10" t="s">
        <v>17</v>
      </c>
    </row>
    <row r="3" spans="1:3" x14ac:dyDescent="0.25">
      <c r="A3" s="12"/>
      <c r="B3" s="13"/>
      <c r="C3" s="13"/>
    </row>
    <row r="4" spans="1:3" x14ac:dyDescent="0.25">
      <c r="A4" s="14"/>
      <c r="B4" s="15"/>
      <c r="C4" s="15"/>
    </row>
    <row r="5" spans="1:3" x14ac:dyDescent="0.25">
      <c r="A5" s="14"/>
      <c r="B5" s="15"/>
      <c r="C5" s="15"/>
    </row>
    <row r="6" spans="1:3" x14ac:dyDescent="0.25">
      <c r="A6" s="14"/>
      <c r="B6" s="16"/>
      <c r="C6" s="15"/>
    </row>
    <row r="7" spans="1:3" x14ac:dyDescent="0.25">
      <c r="A7" s="14"/>
      <c r="B7" s="16"/>
      <c r="C7" s="15"/>
    </row>
    <row r="8" spans="1:3" x14ac:dyDescent="0.25">
      <c r="A8" s="14"/>
      <c r="B8" s="17"/>
      <c r="C8" s="15"/>
    </row>
    <row r="9" spans="1:3" x14ac:dyDescent="0.25">
      <c r="A9" s="14"/>
      <c r="B9" s="16"/>
      <c r="C9" s="15"/>
    </row>
    <row r="10" spans="1:3" x14ac:dyDescent="0.25">
      <c r="A10" s="14"/>
      <c r="B10" s="15"/>
      <c r="C10" s="15"/>
    </row>
    <row r="11" spans="1:3" x14ac:dyDescent="0.25">
      <c r="A11" s="14"/>
      <c r="B11" s="15"/>
      <c r="C11" s="15"/>
    </row>
    <row r="12" spans="1:3" x14ac:dyDescent="0.25">
      <c r="A12" s="18"/>
      <c r="B12" s="15"/>
      <c r="C12" s="15"/>
    </row>
    <row r="13" spans="1:3" x14ac:dyDescent="0.25">
      <c r="A13" s="18"/>
      <c r="B13" s="15"/>
      <c r="C13" s="15"/>
    </row>
    <row r="14" spans="1:3" x14ac:dyDescent="0.25">
      <c r="A14" s="18"/>
      <c r="B14" s="15"/>
      <c r="C14" s="15"/>
    </row>
    <row r="15" spans="1:3" x14ac:dyDescent="0.25">
      <c r="A15" s="18"/>
      <c r="B15" s="15"/>
      <c r="C15" s="15"/>
    </row>
    <row r="16" spans="1:3" x14ac:dyDescent="0.25">
      <c r="A16" s="18"/>
      <c r="B16" s="15"/>
      <c r="C16" s="15"/>
    </row>
    <row r="17" spans="1:3" x14ac:dyDescent="0.25">
      <c r="A17" s="18"/>
      <c r="B17" s="15"/>
      <c r="C17" s="15"/>
    </row>
    <row r="18" spans="1:3" x14ac:dyDescent="0.25">
      <c r="A18" s="18"/>
      <c r="B18" s="15"/>
      <c r="C18" s="15"/>
    </row>
    <row r="19" spans="1:3" x14ac:dyDescent="0.25">
      <c r="A19" s="18"/>
      <c r="B19" s="15"/>
      <c r="C19" s="15"/>
    </row>
    <row r="20" spans="1:3" x14ac:dyDescent="0.25">
      <c r="A20" s="18"/>
      <c r="B20" s="15"/>
      <c r="C20" s="15"/>
    </row>
    <row r="21" spans="1:3" x14ac:dyDescent="0.25">
      <c r="A21" s="18"/>
      <c r="B21" s="15"/>
      <c r="C21" s="15"/>
    </row>
    <row r="22" spans="1:3" x14ac:dyDescent="0.25">
      <c r="A22" s="18"/>
      <c r="B22" s="15"/>
      <c r="C22" s="15"/>
    </row>
    <row r="23" spans="1:3" x14ac:dyDescent="0.25">
      <c r="A23" s="18"/>
      <c r="B23" s="15"/>
      <c r="C23" s="15"/>
    </row>
    <row r="24" spans="1:3" x14ac:dyDescent="0.25">
      <c r="A24" s="18"/>
      <c r="B24" s="15"/>
      <c r="C24" s="15"/>
    </row>
    <row r="25" spans="1:3" x14ac:dyDescent="0.25">
      <c r="A25" s="18"/>
      <c r="B25" s="15"/>
      <c r="C25" s="15"/>
    </row>
    <row r="26" spans="1:3" x14ac:dyDescent="0.25">
      <c r="A26" s="18"/>
      <c r="B26" s="15"/>
      <c r="C26" s="15"/>
    </row>
    <row r="27" spans="1:3" x14ac:dyDescent="0.25">
      <c r="A27" s="18"/>
      <c r="B27" s="15"/>
      <c r="C27" s="15"/>
    </row>
    <row r="28" spans="1:3" x14ac:dyDescent="0.25">
      <c r="A28" s="18"/>
      <c r="B28" s="15"/>
      <c r="C28" s="15"/>
    </row>
    <row r="29" spans="1:3" x14ac:dyDescent="0.25">
      <c r="A29" s="18"/>
      <c r="B29" s="15"/>
      <c r="C29" s="15"/>
    </row>
    <row r="30" spans="1:3" x14ac:dyDescent="0.25">
      <c r="A30" s="18"/>
      <c r="B30" s="15"/>
      <c r="C30" s="15"/>
    </row>
    <row r="31" spans="1:3" x14ac:dyDescent="0.25">
      <c r="A31" s="18"/>
      <c r="B31" s="15"/>
      <c r="C31" s="15"/>
    </row>
    <row r="32" spans="1:3" x14ac:dyDescent="0.25">
      <c r="A32" s="18"/>
      <c r="B32" s="15"/>
      <c r="C32" s="15"/>
    </row>
    <row r="33" spans="1:3" x14ac:dyDescent="0.25">
      <c r="A33" s="18"/>
      <c r="B33" s="15"/>
      <c r="C33" s="15"/>
    </row>
    <row r="34" spans="1:3" x14ac:dyDescent="0.25">
      <c r="A34" s="18"/>
      <c r="B34" s="15"/>
      <c r="C34" s="15"/>
    </row>
    <row r="35" spans="1:3" x14ac:dyDescent="0.25">
      <c r="A35" s="18"/>
      <c r="B35" s="15"/>
      <c r="C35" s="15"/>
    </row>
    <row r="36" spans="1:3" x14ac:dyDescent="0.25">
      <c r="A36" s="18"/>
      <c r="B36" s="15"/>
      <c r="C36" s="15"/>
    </row>
    <row r="37" spans="1:3" x14ac:dyDescent="0.25">
      <c r="A37" s="18"/>
      <c r="B37" s="15"/>
      <c r="C37" s="15"/>
    </row>
    <row r="38" spans="1:3" x14ac:dyDescent="0.25">
      <c r="A38" s="19"/>
      <c r="B38" s="20"/>
      <c r="C38" s="20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11DDF-E388-45D6-927F-C404F6FAB845}">
  <sheetPr codeName="Tabelle3"/>
  <dimension ref="A1:C20"/>
  <sheetViews>
    <sheetView workbookViewId="0">
      <selection activeCell="F31" sqref="F31"/>
    </sheetView>
  </sheetViews>
  <sheetFormatPr baseColWidth="10" defaultColWidth="11.42578125" defaultRowHeight="15" x14ac:dyDescent="0.25"/>
  <cols>
    <col min="1" max="1" width="23.42578125" style="64" customWidth="1"/>
    <col min="2" max="2" width="19" style="64" customWidth="1"/>
    <col min="3" max="3" width="23.28515625" style="65" customWidth="1"/>
    <col min="4" max="4" width="12.28515625" style="64" customWidth="1"/>
    <col min="5" max="16384" width="11.42578125" style="64"/>
  </cols>
  <sheetData>
    <row r="1" spans="1:3" s="66" customFormat="1" ht="33.75" customHeight="1" x14ac:dyDescent="0.25">
      <c r="A1" s="89" t="s">
        <v>31</v>
      </c>
      <c r="B1" s="67" t="s">
        <v>30</v>
      </c>
      <c r="C1" s="88" t="s">
        <v>32</v>
      </c>
    </row>
    <row r="2" spans="1:3" x14ac:dyDescent="0.25">
      <c r="A2" s="68"/>
      <c r="B2" s="68"/>
      <c r="C2" s="69"/>
    </row>
    <row r="3" spans="1:3" x14ac:dyDescent="0.25">
      <c r="A3" s="68"/>
      <c r="B3" s="68"/>
      <c r="C3" s="69"/>
    </row>
    <row r="4" spans="1:3" x14ac:dyDescent="0.25">
      <c r="A4" s="68"/>
      <c r="B4" s="68"/>
      <c r="C4" s="69"/>
    </row>
    <row r="5" spans="1:3" x14ac:dyDescent="0.25">
      <c r="A5" s="68"/>
      <c r="B5" s="68"/>
      <c r="C5" s="69"/>
    </row>
    <row r="6" spans="1:3" x14ac:dyDescent="0.25">
      <c r="A6" s="68"/>
      <c r="B6" s="68"/>
      <c r="C6" s="69"/>
    </row>
    <row r="7" spans="1:3" x14ac:dyDescent="0.25">
      <c r="A7" s="68"/>
      <c r="B7" s="68"/>
      <c r="C7" s="69"/>
    </row>
    <row r="8" spans="1:3" x14ac:dyDescent="0.25">
      <c r="A8" s="68"/>
      <c r="B8" s="68"/>
      <c r="C8" s="69"/>
    </row>
    <row r="9" spans="1:3" x14ac:dyDescent="0.25">
      <c r="A9" s="68"/>
      <c r="B9" s="68"/>
      <c r="C9" s="70"/>
    </row>
    <row r="10" spans="1:3" x14ac:dyDescent="0.25">
      <c r="A10" s="68"/>
      <c r="B10" s="68"/>
      <c r="C10" s="69"/>
    </row>
    <row r="11" spans="1:3" x14ac:dyDescent="0.25">
      <c r="A11" s="68"/>
      <c r="B11" s="68"/>
      <c r="C11" s="69"/>
    </row>
    <row r="12" spans="1:3" x14ac:dyDescent="0.25">
      <c r="A12" s="68"/>
      <c r="B12" s="68"/>
      <c r="C12" s="69"/>
    </row>
    <row r="13" spans="1:3" x14ac:dyDescent="0.25">
      <c r="A13" s="68"/>
      <c r="B13" s="68"/>
      <c r="C13" s="69"/>
    </row>
    <row r="14" spans="1:3" x14ac:dyDescent="0.25">
      <c r="A14" s="68"/>
      <c r="B14" s="68"/>
      <c r="C14" s="69"/>
    </row>
    <row r="15" spans="1:3" x14ac:dyDescent="0.25">
      <c r="A15" s="68"/>
      <c r="B15" s="68"/>
      <c r="C15" s="69"/>
    </row>
    <row r="16" spans="1:3" x14ac:dyDescent="0.25">
      <c r="A16" s="68"/>
      <c r="B16" s="68"/>
      <c r="C16" s="69"/>
    </row>
    <row r="17" spans="1:3" x14ac:dyDescent="0.25">
      <c r="A17" s="68"/>
      <c r="B17" s="68"/>
      <c r="C17" s="69"/>
    </row>
    <row r="18" spans="1:3" x14ac:dyDescent="0.25">
      <c r="A18" s="68"/>
      <c r="B18" s="68"/>
      <c r="C18" s="69"/>
    </row>
    <row r="19" spans="1:3" x14ac:dyDescent="0.25">
      <c r="A19" s="68"/>
      <c r="B19" s="68"/>
      <c r="C19" s="69"/>
    </row>
    <row r="20" spans="1:3" x14ac:dyDescent="0.25">
      <c r="A20" s="68"/>
      <c r="B20" s="68"/>
      <c r="C20" s="69"/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E4F83-2B82-4771-8BA7-EC6549395A5A}">
  <sheetPr codeName="Tabelle1"/>
  <dimension ref="A1:D210"/>
  <sheetViews>
    <sheetView zoomScale="85" zoomScaleNormal="85" workbookViewId="0">
      <selection activeCell="D10" sqref="D10"/>
    </sheetView>
  </sheetViews>
  <sheetFormatPr baseColWidth="10" defaultColWidth="11.42578125" defaultRowHeight="15" x14ac:dyDescent="0.25"/>
  <cols>
    <col min="1" max="1" width="35.28515625" style="68" customWidth="1"/>
    <col min="2" max="2" width="73.28515625" style="91" customWidth="1"/>
    <col min="3" max="3" width="68.7109375" style="90" customWidth="1"/>
    <col min="4" max="4" width="64.7109375" style="68" customWidth="1"/>
    <col min="5" max="16384" width="11.42578125" style="68"/>
  </cols>
  <sheetData>
    <row r="1" spans="1:4" ht="31.5" customHeight="1" x14ac:dyDescent="0.25">
      <c r="A1" s="133" t="s">
        <v>41</v>
      </c>
      <c r="B1" s="133"/>
      <c r="C1" s="133"/>
    </row>
    <row r="2" spans="1:4" ht="20.100000000000001" customHeight="1" x14ac:dyDescent="0.25">
      <c r="A2" s="135"/>
      <c r="B2" s="140" t="s">
        <v>33</v>
      </c>
    </row>
    <row r="3" spans="1:4" ht="20.100000000000001" customHeight="1" x14ac:dyDescent="0.25">
      <c r="A3" s="136"/>
      <c r="B3" s="139"/>
    </row>
    <row r="4" spans="1:4" ht="20.100000000000001" customHeight="1" x14ac:dyDescent="0.25">
      <c r="A4" s="131"/>
      <c r="B4" s="132" t="s">
        <v>34</v>
      </c>
      <c r="C4" s="137"/>
    </row>
    <row r="5" spans="1:4" ht="20.100000000000001" customHeight="1" x14ac:dyDescent="0.25">
      <c r="A5" s="136"/>
      <c r="B5" s="139"/>
      <c r="C5" s="138"/>
    </row>
    <row r="6" spans="1:4" ht="131.25" customHeight="1" x14ac:dyDescent="0.25">
      <c r="A6" s="95"/>
      <c r="B6" s="96" t="s">
        <v>40</v>
      </c>
      <c r="C6" s="97" t="s">
        <v>36</v>
      </c>
      <c r="D6" s="69"/>
    </row>
    <row r="7" spans="1:4" ht="20.100000000000001" customHeight="1" x14ac:dyDescent="0.25">
      <c r="A7" s="131"/>
      <c r="B7" s="132" t="s">
        <v>35</v>
      </c>
    </row>
    <row r="8" spans="1:4" ht="47.25" customHeight="1" x14ac:dyDescent="0.25">
      <c r="A8" s="131"/>
      <c r="B8" s="132"/>
    </row>
    <row r="9" spans="1:4" ht="20.100000000000001" customHeight="1" x14ac:dyDescent="0.25">
      <c r="A9" s="131"/>
      <c r="B9" s="132" t="s">
        <v>37</v>
      </c>
      <c r="C9" s="134" t="s">
        <v>44</v>
      </c>
    </row>
    <row r="10" spans="1:4" ht="36.75" customHeight="1" x14ac:dyDescent="0.25">
      <c r="A10" s="131"/>
      <c r="B10" s="132"/>
      <c r="C10" s="134"/>
    </row>
    <row r="11" spans="1:4" ht="20.100000000000001" customHeight="1" x14ac:dyDescent="0.25">
      <c r="A11" s="131"/>
      <c r="B11" s="132" t="s">
        <v>38</v>
      </c>
    </row>
    <row r="12" spans="1:4" ht="20.100000000000001" customHeight="1" x14ac:dyDescent="0.25">
      <c r="A12" s="131"/>
      <c r="B12" s="132"/>
    </row>
    <row r="13" spans="1:4" ht="103.5" customHeight="1" x14ac:dyDescent="0.25">
      <c r="A13" s="98"/>
      <c r="B13" s="93" t="s">
        <v>39</v>
      </c>
    </row>
    <row r="14" spans="1:4" ht="31.5" customHeight="1" x14ac:dyDescent="0.25">
      <c r="A14" s="133" t="s">
        <v>42</v>
      </c>
      <c r="B14" s="133"/>
      <c r="C14" s="133"/>
    </row>
    <row r="15" spans="1:4" ht="37.5" customHeight="1" x14ac:dyDescent="0.25">
      <c r="A15" s="95"/>
      <c r="B15" s="99" t="s">
        <v>43</v>
      </c>
    </row>
    <row r="16" spans="1:4" ht="43.5" customHeight="1" x14ac:dyDescent="0.25">
      <c r="A16" s="94"/>
      <c r="B16" s="92" t="s">
        <v>45</v>
      </c>
    </row>
    <row r="17" spans="1:2" ht="108" customHeight="1" x14ac:dyDescent="0.25">
      <c r="A17" s="94"/>
      <c r="B17" s="92" t="s">
        <v>46</v>
      </c>
    </row>
    <row r="18" spans="1:2" ht="20.100000000000001" customHeight="1" x14ac:dyDescent="0.25"/>
    <row r="19" spans="1:2" ht="20.100000000000001" customHeight="1" x14ac:dyDescent="0.25"/>
    <row r="20" spans="1:2" ht="20.100000000000001" customHeight="1" x14ac:dyDescent="0.25"/>
    <row r="21" spans="1:2" ht="20.100000000000001" customHeight="1" x14ac:dyDescent="0.25"/>
    <row r="22" spans="1:2" ht="20.100000000000001" customHeight="1" x14ac:dyDescent="0.25"/>
    <row r="23" spans="1:2" ht="20.100000000000001" customHeight="1" x14ac:dyDescent="0.25"/>
    <row r="24" spans="1:2" ht="20.100000000000001" customHeight="1" x14ac:dyDescent="0.25"/>
    <row r="25" spans="1:2" ht="20.100000000000001" customHeight="1" x14ac:dyDescent="0.25"/>
    <row r="26" spans="1:2" ht="20.100000000000001" customHeight="1" x14ac:dyDescent="0.25"/>
    <row r="27" spans="1:2" ht="20.100000000000001" customHeight="1" x14ac:dyDescent="0.25"/>
    <row r="28" spans="1:2" ht="20.100000000000001" customHeight="1" x14ac:dyDescent="0.25"/>
    <row r="29" spans="1:2" ht="20.100000000000001" customHeight="1" x14ac:dyDescent="0.25"/>
    <row r="30" spans="1:2" ht="20.100000000000001" customHeight="1" x14ac:dyDescent="0.25"/>
    <row r="31" spans="1:2" ht="20.100000000000001" customHeight="1" x14ac:dyDescent="0.25"/>
    <row r="32" spans="1: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</sheetData>
  <mergeCells count="14">
    <mergeCell ref="A11:A12"/>
    <mergeCell ref="B11:B12"/>
    <mergeCell ref="A1:C1"/>
    <mergeCell ref="A14:C14"/>
    <mergeCell ref="C9:C10"/>
    <mergeCell ref="A2:A3"/>
    <mergeCell ref="A4:A5"/>
    <mergeCell ref="A7:A8"/>
    <mergeCell ref="B7:B8"/>
    <mergeCell ref="A9:A10"/>
    <mergeCell ref="B9:B10"/>
    <mergeCell ref="C4:C5"/>
    <mergeCell ref="B4:B5"/>
    <mergeCell ref="B2:B3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LOP</vt:lpstr>
      <vt:lpstr>Agenda</vt:lpstr>
      <vt:lpstr>Calculation Sheet</vt:lpstr>
      <vt:lpstr>Changehistory</vt:lpstr>
      <vt:lpstr>Team Vacation planning</vt:lpstr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wolfgang schubert</dc:creator>
  <cp:keywords/>
  <dc:description/>
  <cp:lastModifiedBy>Kerschreiter, Horst</cp:lastModifiedBy>
  <cp:revision/>
  <cp:lastPrinted>2025-01-09T09:43:59Z</cp:lastPrinted>
  <dcterms:created xsi:type="dcterms:W3CDTF">2023-12-08T16:32:13Z</dcterms:created>
  <dcterms:modified xsi:type="dcterms:W3CDTF">2025-11-18T11:14:55Z</dcterms:modified>
  <cp:category/>
  <cp:contentStatus/>
</cp:coreProperties>
</file>